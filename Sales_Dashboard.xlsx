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24226"/>
  <mc:AlternateContent xmlns:mc="http://schemas.openxmlformats.org/markup-compatibility/2006">
    <mc:Choice Requires="x15">
      <x15ac:absPath xmlns:x15ac="http://schemas.microsoft.com/office/spreadsheetml/2010/11/ac" url="C:\Users\lenovo\Desktop\"/>
    </mc:Choice>
  </mc:AlternateContent>
  <bookViews>
    <workbookView xWindow="240" yWindow="12" windowWidth="16092" windowHeight="9660" activeTab="3"/>
  </bookViews>
  <sheets>
    <sheet name="pivot 1" sheetId="2" r:id="rId1"/>
    <sheet name="pivot 2" sheetId="3" r:id="rId2"/>
    <sheet name="pivot 3" sheetId="4" r:id="rId3"/>
    <sheet name="pivot 4" sheetId="5" r:id="rId4"/>
    <sheet name="sales data" sheetId="1" r:id="rId5"/>
  </sheets>
  <definedNames>
    <definedName name="Slicer_CustomerType">#N/A</definedName>
    <definedName name="Slicer_PaymentMethod">#N/A</definedName>
    <definedName name="Slicer_Product">#N/A</definedName>
    <definedName name="Slicer_Region">#N/A</definedName>
    <definedName name="Slicer_Returned">#N/A</definedName>
  </definedNames>
  <calcPr calcId="152511"/>
  <pivotCaches>
    <pivotCache cacheId="4"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R2" i="1" l="1"/>
  <c r="R3" i="1"/>
  <c r="R13" i="1" l="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4" i="1"/>
  <c r="R5" i="1"/>
  <c r="R6" i="1"/>
  <c r="R7" i="1"/>
  <c r="R8" i="1"/>
  <c r="R9" i="1"/>
  <c r="R10" i="1"/>
  <c r="R11" i="1"/>
  <c r="R12" i="1"/>
</calcChain>
</file>

<file path=xl/sharedStrings.xml><?xml version="1.0" encoding="utf-8"?>
<sst xmlns="http://schemas.openxmlformats.org/spreadsheetml/2006/main" count="1863" uniqueCount="468">
  <si>
    <t>Date</t>
  </si>
  <si>
    <t>Region</t>
  </si>
  <si>
    <t>Product</t>
  </si>
  <si>
    <t>Quantity</t>
  </si>
  <si>
    <t>UnitPrice</t>
  </si>
  <si>
    <t>StoreLocation</t>
  </si>
  <si>
    <t>CustomerType</t>
  </si>
  <si>
    <t>Discount</t>
  </si>
  <si>
    <t>Salesperson</t>
  </si>
  <si>
    <t>PaymentMethod</t>
  </si>
  <si>
    <t>Returned</t>
  </si>
  <si>
    <t>OrderID</t>
  </si>
  <si>
    <t>CustomerName</t>
  </si>
  <si>
    <t>ShippingCost</t>
  </si>
  <si>
    <t>OrderDate</t>
  </si>
  <si>
    <t>DeliveryDate</t>
  </si>
  <si>
    <t>RegionManager</t>
  </si>
  <si>
    <t>East</t>
  </si>
  <si>
    <t>South</t>
  </si>
  <si>
    <t>North</t>
  </si>
  <si>
    <t>Central</t>
  </si>
  <si>
    <t>West</t>
  </si>
  <si>
    <t>Laptop</t>
  </si>
  <si>
    <t>Phone</t>
  </si>
  <si>
    <t>Desk</t>
  </si>
  <si>
    <t>Chair</t>
  </si>
  <si>
    <t>Monitor</t>
  </si>
  <si>
    <t>Tablet</t>
  </si>
  <si>
    <t>Printer</t>
  </si>
  <si>
    <t>Store B</t>
  </si>
  <si>
    <t>Store A</t>
  </si>
  <si>
    <t>Store C</t>
  </si>
  <si>
    <t>Store D</t>
  </si>
  <si>
    <t>Wholesale</t>
  </si>
  <si>
    <t>Retail</t>
  </si>
  <si>
    <t>Eva</t>
  </si>
  <si>
    <t>Alice</t>
  </si>
  <si>
    <t>Frank</t>
  </si>
  <si>
    <t>Carlos</t>
  </si>
  <si>
    <t>Diana</t>
  </si>
  <si>
    <t>Bob</t>
  </si>
  <si>
    <t>Online</t>
  </si>
  <si>
    <t>Gift Card</t>
  </si>
  <si>
    <t>Credit Card</t>
  </si>
  <si>
    <t>Debit Card</t>
  </si>
  <si>
    <t>Cash</t>
  </si>
  <si>
    <t>REG100000</t>
  </si>
  <si>
    <t>REG100001</t>
  </si>
  <si>
    <t>REG100002</t>
  </si>
  <si>
    <t>REG100003</t>
  </si>
  <si>
    <t>REG100004</t>
  </si>
  <si>
    <t>REG100005</t>
  </si>
  <si>
    <t>REG100006</t>
  </si>
  <si>
    <t>REG100007</t>
  </si>
  <si>
    <t>REG100008</t>
  </si>
  <si>
    <t>REG100009</t>
  </si>
  <si>
    <t>REG100010</t>
  </si>
  <si>
    <t>REG100011</t>
  </si>
  <si>
    <t>REG100012</t>
  </si>
  <si>
    <t>REG100013</t>
  </si>
  <si>
    <t>REG100014</t>
  </si>
  <si>
    <t>REG100015</t>
  </si>
  <si>
    <t>REG100016</t>
  </si>
  <si>
    <t>REG100017</t>
  </si>
  <si>
    <t>REG100018</t>
  </si>
  <si>
    <t>REG100019</t>
  </si>
  <si>
    <t>REG100020</t>
  </si>
  <si>
    <t>REG100021</t>
  </si>
  <si>
    <t>REG100022</t>
  </si>
  <si>
    <t>REG100023</t>
  </si>
  <si>
    <t>REG100024</t>
  </si>
  <si>
    <t>REG100025</t>
  </si>
  <si>
    <t>REG100026</t>
  </si>
  <si>
    <t>REG100027</t>
  </si>
  <si>
    <t>REG100028</t>
  </si>
  <si>
    <t>REG100029</t>
  </si>
  <si>
    <t>REG100030</t>
  </si>
  <si>
    <t>REG100031</t>
  </si>
  <si>
    <t>REG100032</t>
  </si>
  <si>
    <t>REG100033</t>
  </si>
  <si>
    <t>REG100034</t>
  </si>
  <si>
    <t>REG100035</t>
  </si>
  <si>
    <t>REG100036</t>
  </si>
  <si>
    <t>REG100037</t>
  </si>
  <si>
    <t>REG100038</t>
  </si>
  <si>
    <t>REG100039</t>
  </si>
  <si>
    <t>REG100040</t>
  </si>
  <si>
    <t>REG100041</t>
  </si>
  <si>
    <t>REG100042</t>
  </si>
  <si>
    <t>REG100043</t>
  </si>
  <si>
    <t>REG100044</t>
  </si>
  <si>
    <t>REG100045</t>
  </si>
  <si>
    <t>REG100046</t>
  </si>
  <si>
    <t>REG100047</t>
  </si>
  <si>
    <t>REG100048</t>
  </si>
  <si>
    <t>REG100049</t>
  </si>
  <si>
    <t>REG100050</t>
  </si>
  <si>
    <t>REG100051</t>
  </si>
  <si>
    <t>REG100052</t>
  </si>
  <si>
    <t>REG100053</t>
  </si>
  <si>
    <t>REG100054</t>
  </si>
  <si>
    <t>REG100055</t>
  </si>
  <si>
    <t>REG100056</t>
  </si>
  <si>
    <t>REG100057</t>
  </si>
  <si>
    <t>REG100058</t>
  </si>
  <si>
    <t>REG100059</t>
  </si>
  <si>
    <t>REG100060</t>
  </si>
  <si>
    <t>REG100061</t>
  </si>
  <si>
    <t>REG100062</t>
  </si>
  <si>
    <t>REG100063</t>
  </si>
  <si>
    <t>REG100064</t>
  </si>
  <si>
    <t>REG100065</t>
  </si>
  <si>
    <t>REG100066</t>
  </si>
  <si>
    <t>REG100067</t>
  </si>
  <si>
    <t>REG100068</t>
  </si>
  <si>
    <t>REG100069</t>
  </si>
  <si>
    <t>REG100070</t>
  </si>
  <si>
    <t>REG100071</t>
  </si>
  <si>
    <t>REG100072</t>
  </si>
  <si>
    <t>REG100073</t>
  </si>
  <si>
    <t>REG100074</t>
  </si>
  <si>
    <t>REG100075</t>
  </si>
  <si>
    <t>REG100076</t>
  </si>
  <si>
    <t>REG100077</t>
  </si>
  <si>
    <t>REG100078</t>
  </si>
  <si>
    <t>REG100079</t>
  </si>
  <si>
    <t>REG100080</t>
  </si>
  <si>
    <t>REG100081</t>
  </si>
  <si>
    <t>REG100082</t>
  </si>
  <si>
    <t>REG100083</t>
  </si>
  <si>
    <t>REG100084</t>
  </si>
  <si>
    <t>REG100085</t>
  </si>
  <si>
    <t>REG100086</t>
  </si>
  <si>
    <t>REG100087</t>
  </si>
  <si>
    <t>REG100088</t>
  </si>
  <si>
    <t>REG100089</t>
  </si>
  <si>
    <t>REG100090</t>
  </si>
  <si>
    <t>REG100091</t>
  </si>
  <si>
    <t>REG100092</t>
  </si>
  <si>
    <t>REG100093</t>
  </si>
  <si>
    <t>REG100094</t>
  </si>
  <si>
    <t>REG100095</t>
  </si>
  <si>
    <t>REG100096</t>
  </si>
  <si>
    <t>REG100097</t>
  </si>
  <si>
    <t>REG100098</t>
  </si>
  <si>
    <t>REG100099</t>
  </si>
  <si>
    <t>REG100100</t>
  </si>
  <si>
    <t>REG100101</t>
  </si>
  <si>
    <t>REG100102</t>
  </si>
  <si>
    <t>REG100103</t>
  </si>
  <si>
    <t>REG100104</t>
  </si>
  <si>
    <t>REG100105</t>
  </si>
  <si>
    <t>REG100106</t>
  </si>
  <si>
    <t>REG100107</t>
  </si>
  <si>
    <t>REG100108</t>
  </si>
  <si>
    <t>REG100109</t>
  </si>
  <si>
    <t>REG100110</t>
  </si>
  <si>
    <t>REG100111</t>
  </si>
  <si>
    <t>REG100112</t>
  </si>
  <si>
    <t>REG100113</t>
  </si>
  <si>
    <t>REG100114</t>
  </si>
  <si>
    <t>REG100115</t>
  </si>
  <si>
    <t>REG100116</t>
  </si>
  <si>
    <t>REG100117</t>
  </si>
  <si>
    <t>REG100118</t>
  </si>
  <si>
    <t>REG100119</t>
  </si>
  <si>
    <t>REG100120</t>
  </si>
  <si>
    <t>REG100121</t>
  </si>
  <si>
    <t>REG100122</t>
  </si>
  <si>
    <t>REG100123</t>
  </si>
  <si>
    <t>REG100124</t>
  </si>
  <si>
    <t>REG100125</t>
  </si>
  <si>
    <t>REG100126</t>
  </si>
  <si>
    <t>REG100127</t>
  </si>
  <si>
    <t>REG100128</t>
  </si>
  <si>
    <t>REG100129</t>
  </si>
  <si>
    <t>REG100130</t>
  </si>
  <si>
    <t>REG100131</t>
  </si>
  <si>
    <t>REG100132</t>
  </si>
  <si>
    <t>REG100133</t>
  </si>
  <si>
    <t>REG100134</t>
  </si>
  <si>
    <t>REG100135</t>
  </si>
  <si>
    <t>REG100136</t>
  </si>
  <si>
    <t>REG100137</t>
  </si>
  <si>
    <t>REG100138</t>
  </si>
  <si>
    <t>REG100139</t>
  </si>
  <si>
    <t>REG100140</t>
  </si>
  <si>
    <t>REG100141</t>
  </si>
  <si>
    <t>REG100142</t>
  </si>
  <si>
    <t>REG100143</t>
  </si>
  <si>
    <t>REG100144</t>
  </si>
  <si>
    <t>REG100145</t>
  </si>
  <si>
    <t>REG100146</t>
  </si>
  <si>
    <t>REG100147</t>
  </si>
  <si>
    <t>REG100148</t>
  </si>
  <si>
    <t>REG100149</t>
  </si>
  <si>
    <t>REG100150</t>
  </si>
  <si>
    <t>REG100151</t>
  </si>
  <si>
    <t>REG100152</t>
  </si>
  <si>
    <t>REG100153</t>
  </si>
  <si>
    <t>REG100154</t>
  </si>
  <si>
    <t>REG100155</t>
  </si>
  <si>
    <t>REG100156</t>
  </si>
  <si>
    <t>REG100157</t>
  </si>
  <si>
    <t>REG100158</t>
  </si>
  <si>
    <t>REG100159</t>
  </si>
  <si>
    <t>REG100160</t>
  </si>
  <si>
    <t>REG100161</t>
  </si>
  <si>
    <t>REG100162</t>
  </si>
  <si>
    <t>REG100163</t>
  </si>
  <si>
    <t>REG100164</t>
  </si>
  <si>
    <t>REG100165</t>
  </si>
  <si>
    <t>REG100166</t>
  </si>
  <si>
    <t>REG100167</t>
  </si>
  <si>
    <t>REG100168</t>
  </si>
  <si>
    <t>REG100169</t>
  </si>
  <si>
    <t>REG100170</t>
  </si>
  <si>
    <t>REG100171</t>
  </si>
  <si>
    <t>REG100172</t>
  </si>
  <si>
    <t>REG100173</t>
  </si>
  <si>
    <t>REG100174</t>
  </si>
  <si>
    <t>REG100175</t>
  </si>
  <si>
    <t>REG100176</t>
  </si>
  <si>
    <t>REG100177</t>
  </si>
  <si>
    <t>REG100178</t>
  </si>
  <si>
    <t>REG100179</t>
  </si>
  <si>
    <t>REG100180</t>
  </si>
  <si>
    <t>REG100181</t>
  </si>
  <si>
    <t>REG100182</t>
  </si>
  <si>
    <t>REG100183</t>
  </si>
  <si>
    <t>REG100184</t>
  </si>
  <si>
    <t>REG100185</t>
  </si>
  <si>
    <t>REG100186</t>
  </si>
  <si>
    <t>REG100187</t>
  </si>
  <si>
    <t>REG100188</t>
  </si>
  <si>
    <t>REG100189</t>
  </si>
  <si>
    <t>REG100190</t>
  </si>
  <si>
    <t>REG100191</t>
  </si>
  <si>
    <t>REG100192</t>
  </si>
  <si>
    <t>REG100193</t>
  </si>
  <si>
    <t>REG100194</t>
  </si>
  <si>
    <t>REG100195</t>
  </si>
  <si>
    <t>REG100196</t>
  </si>
  <si>
    <t>REG100197</t>
  </si>
  <si>
    <t>REG100198</t>
  </si>
  <si>
    <t>Cust 6583</t>
  </si>
  <si>
    <t>Cust 2144</t>
  </si>
  <si>
    <t>Cust 5998</t>
  </si>
  <si>
    <t>Cust 7136</t>
  </si>
  <si>
    <t>Cust 6506</t>
  </si>
  <si>
    <t>Cust 3909</t>
  </si>
  <si>
    <t>Cust 7887</t>
  </si>
  <si>
    <t>Cust 5301</t>
  </si>
  <si>
    <t>Cust 2284</t>
  </si>
  <si>
    <t>Cust 3732</t>
  </si>
  <si>
    <t>Cust 1462</t>
  </si>
  <si>
    <t>Cust 4330</t>
  </si>
  <si>
    <t>Cust 2372</t>
  </si>
  <si>
    <t>Cust 4672</t>
  </si>
  <si>
    <t>Cust 4548</t>
  </si>
  <si>
    <t>Cust 7037</t>
  </si>
  <si>
    <t>Cust 4975</t>
  </si>
  <si>
    <t>Cust 8014</t>
  </si>
  <si>
    <t>Cust 1228</t>
  </si>
  <si>
    <t>Cust 4247</t>
  </si>
  <si>
    <t>Cust 4199</t>
  </si>
  <si>
    <t>Cust 4186</t>
  </si>
  <si>
    <t>Cust 8137</t>
  </si>
  <si>
    <t>Cust 4638</t>
  </si>
  <si>
    <t>Cust 8538</t>
  </si>
  <si>
    <t>Cust 6322</t>
  </si>
  <si>
    <t>Cust 2609</t>
  </si>
  <si>
    <t>Cust 6880</t>
  </si>
  <si>
    <t>Cust 1997</t>
  </si>
  <si>
    <t>Cust 7072</t>
  </si>
  <si>
    <t>Cust 7201</t>
  </si>
  <si>
    <t>Cust 9923</t>
  </si>
  <si>
    <t>Cust 2205</t>
  </si>
  <si>
    <t>Cust 6403</t>
  </si>
  <si>
    <t>Cust 3953</t>
  </si>
  <si>
    <t>Cust 7902</t>
  </si>
  <si>
    <t>Cust 9968</t>
  </si>
  <si>
    <t>Cust 3787</t>
  </si>
  <si>
    <t>Cust 2469</t>
  </si>
  <si>
    <t>Cust 6468</t>
  </si>
  <si>
    <t>Cust 5312</t>
  </si>
  <si>
    <t>Cust 1482</t>
  </si>
  <si>
    <t>Cust 7903</t>
  </si>
  <si>
    <t>Cust 9605</t>
  </si>
  <si>
    <t>Cust 3298</t>
  </si>
  <si>
    <t>Cust 5533</t>
  </si>
  <si>
    <t>Cust 6362</t>
  </si>
  <si>
    <t>Cust 4826</t>
  </si>
  <si>
    <t>Cust 2171</t>
  </si>
  <si>
    <t>Cust 4005</t>
  </si>
  <si>
    <t>Cust 7032</t>
  </si>
  <si>
    <t>Cust 7167</t>
  </si>
  <si>
    <t>Cust 5702</t>
  </si>
  <si>
    <t>Cust 4944</t>
  </si>
  <si>
    <t>Cust 8149</t>
  </si>
  <si>
    <t>Cust 3638</t>
  </si>
  <si>
    <t>Cust 9973</t>
  </si>
  <si>
    <t>Cust 4214</t>
  </si>
  <si>
    <t>Cust 2647</t>
  </si>
  <si>
    <t>Cust 3552</t>
  </si>
  <si>
    <t>Cust 3354</t>
  </si>
  <si>
    <t>Cust 3903</t>
  </si>
  <si>
    <t>Cust 5358</t>
  </si>
  <si>
    <t>Cust 8144</t>
  </si>
  <si>
    <t>Cust 6747</t>
  </si>
  <si>
    <t>Cust 8330</t>
  </si>
  <si>
    <t>Cust 7186</t>
  </si>
  <si>
    <t>Cust 8287</t>
  </si>
  <si>
    <t>Cust 3986</t>
  </si>
  <si>
    <t>Cust 3213</t>
  </si>
  <si>
    <t>Cust 1907</t>
  </si>
  <si>
    <t>Cust 4639</t>
  </si>
  <si>
    <t>Cust 4153</t>
  </si>
  <si>
    <t>Cust 7096</t>
  </si>
  <si>
    <t>Cust 3806</t>
  </si>
  <si>
    <t>Cust 9345</t>
  </si>
  <si>
    <t>Cust 4456</t>
  </si>
  <si>
    <t>Cust 1089</t>
  </si>
  <si>
    <t>Cust 7230</t>
  </si>
  <si>
    <t>Cust 6597</t>
  </si>
  <si>
    <t>Cust 4108</t>
  </si>
  <si>
    <t>Cust 2883</t>
  </si>
  <si>
    <t>Cust 5018</t>
  </si>
  <si>
    <t>Cust 1231</t>
  </si>
  <si>
    <t>Cust 2209</t>
  </si>
  <si>
    <t>Cust 6684</t>
  </si>
  <si>
    <t>Cust 5289</t>
  </si>
  <si>
    <t>Cust 9159</t>
  </si>
  <si>
    <t>Cust 4844</t>
  </si>
  <si>
    <t>Cust 3273</t>
  </si>
  <si>
    <t>Cust 8160</t>
  </si>
  <si>
    <t>Cust 4439</t>
  </si>
  <si>
    <t>Cust 1127</t>
  </si>
  <si>
    <t>Cust 4696</t>
  </si>
  <si>
    <t>Cust 3014</t>
  </si>
  <si>
    <t>Cust 2539</t>
  </si>
  <si>
    <t>Cust 3916</t>
  </si>
  <si>
    <t>Cust 6329</t>
  </si>
  <si>
    <t>Cust 4384</t>
  </si>
  <si>
    <t>Cust 7756</t>
  </si>
  <si>
    <t>Cust 6086</t>
  </si>
  <si>
    <t>Cust 3845</t>
  </si>
  <si>
    <t>Cust 9996</t>
  </si>
  <si>
    <t>Cust 1711</t>
  </si>
  <si>
    <t>Cust 4522</t>
  </si>
  <si>
    <t>Cust 4233</t>
  </si>
  <si>
    <t>Cust 4121</t>
  </si>
  <si>
    <t>Cust 9092</t>
  </si>
  <si>
    <t>Cust 9090</t>
  </si>
  <si>
    <t>Cust 1983</t>
  </si>
  <si>
    <t>Cust 8834</t>
  </si>
  <si>
    <t>Cust 9780</t>
  </si>
  <si>
    <t>Cust 1293</t>
  </si>
  <si>
    <t>Cust 3173</t>
  </si>
  <si>
    <t>Cust 8641</t>
  </si>
  <si>
    <t>Cust 7656</t>
  </si>
  <si>
    <t>Cust 5523</t>
  </si>
  <si>
    <t>Cust 2015</t>
  </si>
  <si>
    <t>Cust 6895</t>
  </si>
  <si>
    <t>Cust 1797</t>
  </si>
  <si>
    <t>Cust 9969</t>
  </si>
  <si>
    <t>Cust 1815</t>
  </si>
  <si>
    <t>Cust 7773</t>
  </si>
  <si>
    <t>Cust 1499</t>
  </si>
  <si>
    <t>Cust 3809</t>
  </si>
  <si>
    <t>Cust 7824</t>
  </si>
  <si>
    <t>Cust 7258</t>
  </si>
  <si>
    <t>Cust 1151</t>
  </si>
  <si>
    <t>Cust 6486</t>
  </si>
  <si>
    <t>Cust 4034</t>
  </si>
  <si>
    <t>Cust 9794</t>
  </si>
  <si>
    <t>Cust 2414</t>
  </si>
  <si>
    <t>Cust 9024</t>
  </si>
  <si>
    <t>Cust 2663</t>
  </si>
  <si>
    <t>Cust 2293</t>
  </si>
  <si>
    <t>Cust 8963</t>
  </si>
  <si>
    <t>Cust 9238</t>
  </si>
  <si>
    <t>Cust 1390</t>
  </si>
  <si>
    <t>Cust 8548</t>
  </si>
  <si>
    <t>Cust 2919</t>
  </si>
  <si>
    <t>Cust 5847</t>
  </si>
  <si>
    <t>Cust 5711</t>
  </si>
  <si>
    <t>Cust 5461</t>
  </si>
  <si>
    <t>Cust 8905</t>
  </si>
  <si>
    <t>Cust 9618</t>
  </si>
  <si>
    <t>Cust 5203</t>
  </si>
  <si>
    <t>Cust 1732</t>
  </si>
  <si>
    <t>Cust 4734</t>
  </si>
  <si>
    <t>Cust 5895</t>
  </si>
  <si>
    <t>Cust 9691</t>
  </si>
  <si>
    <t>Cust 5406</t>
  </si>
  <si>
    <t>Cust 5750</t>
  </si>
  <si>
    <t>Cust 8280</t>
  </si>
  <si>
    <t>Cust 4358</t>
  </si>
  <si>
    <t>Cust 3588</t>
  </si>
  <si>
    <t>Cust 4539</t>
  </si>
  <si>
    <t>Cust 7067</t>
  </si>
  <si>
    <t>Cust 7720</t>
  </si>
  <si>
    <t>Cust 5668</t>
  </si>
  <si>
    <t>Cust 8367</t>
  </si>
  <si>
    <t>Cust 4438</t>
  </si>
  <si>
    <t>Cust 3481</t>
  </si>
  <si>
    <t>Cust 1489</t>
  </si>
  <si>
    <t>Cust 6649</t>
  </si>
  <si>
    <t>Cust 6114</t>
  </si>
  <si>
    <t>Cust 9589</t>
  </si>
  <si>
    <t>Cust 8184</t>
  </si>
  <si>
    <t>Cust 2490</t>
  </si>
  <si>
    <t>Cust 1647</t>
  </si>
  <si>
    <t>Cust 2017</t>
  </si>
  <si>
    <t>Cust 3446</t>
  </si>
  <si>
    <t>Cust 4877</t>
  </si>
  <si>
    <t>Cust 9112</t>
  </si>
  <si>
    <t>Cust 8172</t>
  </si>
  <si>
    <t>Cust 4597</t>
  </si>
  <si>
    <t>Cust 3690</t>
  </si>
  <si>
    <t>Cust 2893</t>
  </si>
  <si>
    <t>Cust 5602</t>
  </si>
  <si>
    <t>Cust 5616</t>
  </si>
  <si>
    <t>Cust 1312</t>
  </si>
  <si>
    <t>Cust 6315</t>
  </si>
  <si>
    <t>Cust 1224</t>
  </si>
  <si>
    <t>Cust 7182</t>
  </si>
  <si>
    <t>Cust 7901</t>
  </si>
  <si>
    <t>Cust 1736</t>
  </si>
  <si>
    <t>Cust 7795</t>
  </si>
  <si>
    <t>Cust 2471</t>
  </si>
  <si>
    <t>Cust 3068</t>
  </si>
  <si>
    <t>Cust 3848</t>
  </si>
  <si>
    <t>Cust 7777</t>
  </si>
  <si>
    <t>Cust 6613</t>
  </si>
  <si>
    <t>Cust 2326</t>
  </si>
  <si>
    <t>Cust 8304</t>
  </si>
  <si>
    <t>Cust 3630</t>
  </si>
  <si>
    <t>Cust 8617</t>
  </si>
  <si>
    <t>Cust 3530</t>
  </si>
  <si>
    <t>Cust 3884</t>
  </si>
  <si>
    <t>Cust 5739</t>
  </si>
  <si>
    <t>Eric</t>
  </si>
  <si>
    <t>Sophie</t>
  </si>
  <si>
    <t>Ryan</t>
  </si>
  <si>
    <t>Cameron</t>
  </si>
  <si>
    <t>Wendy</t>
  </si>
  <si>
    <t>Total Price</t>
  </si>
  <si>
    <t>Row Labels</t>
  </si>
  <si>
    <t>Grand Total</t>
  </si>
  <si>
    <t>Sum of Total Price</t>
  </si>
  <si>
    <t>Jan</t>
  </si>
  <si>
    <t>Feb</t>
  </si>
  <si>
    <t>Mar</t>
  </si>
  <si>
    <t>Apr</t>
  </si>
  <si>
    <t>May</t>
  </si>
  <si>
    <t>Jun</t>
  </si>
  <si>
    <t>Jul</t>
  </si>
  <si>
    <t>Aug</t>
  </si>
  <si>
    <t>Oct</t>
  </si>
  <si>
    <t>2023</t>
  </si>
  <si>
    <t>Qtr1</t>
  </si>
  <si>
    <t>Qtr2</t>
  </si>
  <si>
    <t>Qtr3</t>
  </si>
  <si>
    <t>Qtr4</t>
  </si>
  <si>
    <t>2024</t>
  </si>
  <si>
    <t>2025</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</si>
</sst>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4" formatCode="_(&quot;$&quot;* #,##0.00_);_(&quot;$&quot;* \(#,##0.00\);_(&quot;$&quot;* &quot;-&quot;??_);_(@_)"/>
    <numFmt numFmtId="164" formatCode="yyyy\-mm\-dd"/>
    <numFmt numFmtId="165" formatCode="&quot;$&quot;#,##0.00"/>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44" fontId="2" fillId="0" borderId="0" applyFont="0" applyFill="0" applyBorder="0" applyAlignment="0" applyProtection="0"/>
  </cellStyleXfs>
  <cellXfs count="19">
    <xf numFmtId="0" fontId="0" fillId="0" borderId="0" xfId="0"/>
    <xf numFmtId="164" fontId="0" fillId="0" borderId="0" xfId="0" applyNumberFormat="1"/>
    <xf numFmtId="165" fontId="1" fillId="0" borderId="1" xfId="0" applyNumberFormat="1" applyFont="1" applyBorder="1" applyAlignment="1">
      <alignment horizontal="center" vertical="top"/>
    </xf>
    <xf numFmtId="165" fontId="0" fillId="0" borderId="0" xfId="0" applyNumberFormat="1"/>
    <xf numFmtId="49" fontId="1" fillId="0" borderId="1" xfId="0" applyNumberFormat="1" applyFont="1" applyBorder="1" applyAlignment="1">
      <alignment horizontal="center" vertical="top"/>
    </xf>
    <xf numFmtId="2" fontId="1" fillId="0" borderId="1" xfId="0" applyNumberFormat="1" applyFont="1" applyBorder="1" applyAlignment="1">
      <alignment horizontal="center" vertical="top"/>
    </xf>
    <xf numFmtId="49" fontId="0" fillId="0" borderId="0" xfId="0" applyNumberFormat="1"/>
    <xf numFmtId="14" fontId="1" fillId="0" borderId="1" xfId="0" applyNumberFormat="1" applyFont="1" applyBorder="1" applyAlignment="1">
      <alignment horizontal="center" vertical="top"/>
    </xf>
    <xf numFmtId="14" fontId="0" fillId="0" borderId="0" xfId="0" applyNumberFormat="1"/>
    <xf numFmtId="10" fontId="1" fillId="0" borderId="1" xfId="0" applyNumberFormat="1" applyFont="1" applyBorder="1" applyAlignment="1">
      <alignment horizontal="center" vertical="top"/>
    </xf>
    <xf numFmtId="10" fontId="0" fillId="0" borderId="0" xfId="0" applyNumberFormat="1"/>
    <xf numFmtId="0" fontId="1" fillId="0" borderId="1" xfId="0" applyNumberFormat="1" applyFont="1" applyBorder="1" applyAlignment="1">
      <alignment horizontal="center" vertical="top"/>
    </xf>
    <xf numFmtId="0" fontId="0" fillId="0" borderId="0" xfId="0" applyNumberFormat="1"/>
    <xf numFmtId="0" fontId="1"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14" fontId="0" fillId="0" borderId="0" xfId="0" applyNumberFormat="1" applyAlignment="1">
      <alignment horizontal="left" indent="2"/>
    </xf>
    <xf numFmtId="165" fontId="2" fillId="0" borderId="0" xfId="1" applyNumberFormat="1" applyFont="1"/>
  </cellXfs>
  <cellStyles count="2">
    <cellStyle name="Currency" xfId="1" builtinId="4"/>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[Sales_data_cleaning.xlsx]pivot 1!PivotTable1</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 1'!$B$3</c:f>
              <c:strCache>
                <c:ptCount val="1"/>
                <c:pt idx="0">
                  <c:v>Total</c:v>
                </c:pt>
              </c:strCache>
            </c:strRef>
          </c:tx>
          <c:spPr>
            <a:solidFill>
              <a:schemeClr val="accent1"/>
            </a:solidFill>
            <a:ln>
              <a:noFill/>
            </a:ln>
            <a:effectLst/>
          </c:spPr>
          <c:invertIfNegative val="0"/>
          <c:cat>
            <c:strRef>
              <c:f>'pivot 1'!$A$4:$A$9</c:f>
              <c:strCache>
                <c:ptCount val="5"/>
                <c:pt idx="0">
                  <c:v>Central</c:v>
                </c:pt>
                <c:pt idx="1">
                  <c:v>East</c:v>
                </c:pt>
                <c:pt idx="2">
                  <c:v>North</c:v>
                </c:pt>
                <c:pt idx="3">
                  <c:v>South</c:v>
                </c:pt>
                <c:pt idx="4">
                  <c:v>West</c:v>
                </c:pt>
              </c:strCache>
            </c:strRef>
          </c:cat>
          <c:val>
            <c:numRef>
              <c:f>'pivot 1'!$B$4:$B$9</c:f>
              <c:numCache>
                <c:formatCode>"$"#,##0.00</c:formatCode>
                <c:ptCount val="5"/>
                <c:pt idx="0">
                  <c:v>144421.23999999996</c:v>
                </c:pt>
                <c:pt idx="1">
                  <c:v>127713.46000000002</c:v>
                </c:pt>
                <c:pt idx="2">
                  <c:v>147050.02999999997</c:v>
                </c:pt>
                <c:pt idx="3">
                  <c:v>114976.80999999997</c:v>
                </c:pt>
                <c:pt idx="4">
                  <c:v>109654.69</c:v>
                </c:pt>
              </c:numCache>
            </c:numRef>
          </c:val>
        </c:ser>
        <c:dLbls>
          <c:showLegendKey val="0"/>
          <c:showVal val="0"/>
          <c:showCatName val="0"/>
          <c:showSerName val="0"/>
          <c:showPercent val="0"/>
          <c:showBubbleSize val="0"/>
        </c:dLbls>
        <c:gapWidth val="219"/>
        <c:overlap val="-27"/>
        <c:axId val="338497208"/>
        <c:axId val="339085200"/>
      </c:barChart>
      <c:catAx>
        <c:axId val="338497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085200"/>
        <c:crosses val="autoZero"/>
        <c:auto val="1"/>
        <c:lblAlgn val="ctr"/>
        <c:lblOffset val="100"/>
        <c:noMultiLvlLbl val="0"/>
      </c:catAx>
      <c:valAx>
        <c:axId val="3390852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4972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[Sales_data_cleaning.xlsx]pivot 2!PivotTable2</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 2'!$B$3</c:f>
              <c:strCache>
                <c:ptCount val="1"/>
                <c:pt idx="0">
                  <c:v>Total</c:v>
                </c:pt>
              </c:strCache>
            </c:strRef>
          </c:tx>
          <c:spPr>
            <a:solidFill>
              <a:schemeClr val="accent1"/>
            </a:solidFill>
            <a:ln>
              <a:noFill/>
            </a:ln>
            <a:effectLst/>
          </c:spPr>
          <c:invertIfNegative val="0"/>
          <c:cat>
            <c:strRef>
              <c:f>'pivot 2'!$A$4:$A$11</c:f>
              <c:strCache>
                <c:ptCount val="7"/>
                <c:pt idx="0">
                  <c:v>Chair</c:v>
                </c:pt>
                <c:pt idx="1">
                  <c:v>Desk</c:v>
                </c:pt>
                <c:pt idx="2">
                  <c:v>Laptop</c:v>
                </c:pt>
                <c:pt idx="3">
                  <c:v>Monitor</c:v>
                </c:pt>
                <c:pt idx="4">
                  <c:v>Phone</c:v>
                </c:pt>
                <c:pt idx="5">
                  <c:v>Printer</c:v>
                </c:pt>
                <c:pt idx="6">
                  <c:v>Tablet</c:v>
                </c:pt>
              </c:strCache>
            </c:strRef>
          </c:cat>
          <c:val>
            <c:numRef>
              <c:f>'pivot 2'!$B$4:$B$11</c:f>
              <c:numCache>
                <c:formatCode>"$"#,##0.00</c:formatCode>
                <c:ptCount val="7"/>
                <c:pt idx="0">
                  <c:v>98983.170000000027</c:v>
                </c:pt>
                <c:pt idx="1">
                  <c:v>99464.540000000008</c:v>
                </c:pt>
                <c:pt idx="2">
                  <c:v>123832.39000000001</c:v>
                </c:pt>
                <c:pt idx="3">
                  <c:v>65457.009999999987</c:v>
                </c:pt>
                <c:pt idx="4">
                  <c:v>81497.950000000012</c:v>
                </c:pt>
                <c:pt idx="5">
                  <c:v>78560.820000000007</c:v>
                </c:pt>
                <c:pt idx="6">
                  <c:v>96020.35</c:v>
                </c:pt>
              </c:numCache>
            </c:numRef>
          </c:val>
        </c:ser>
        <c:dLbls>
          <c:showLegendKey val="0"/>
          <c:showVal val="0"/>
          <c:showCatName val="0"/>
          <c:showSerName val="0"/>
          <c:showPercent val="0"/>
          <c:showBubbleSize val="0"/>
        </c:dLbls>
        <c:gapWidth val="219"/>
        <c:overlap val="-27"/>
        <c:axId val="338598616"/>
        <c:axId val="338599000"/>
      </c:barChart>
      <c:catAx>
        <c:axId val="338598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599000"/>
        <c:crosses val="autoZero"/>
        <c:auto val="1"/>
        <c:lblAlgn val="ctr"/>
        <c:lblOffset val="100"/>
        <c:noMultiLvlLbl val="0"/>
      </c:catAx>
      <c:valAx>
        <c:axId val="3385990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5986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[Sales_data_cleaning.xlsx]pivot 3!PivotTable3</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 3'!$B$3</c:f>
              <c:strCache>
                <c:ptCount val="1"/>
                <c:pt idx="0">
                  <c:v>Total</c:v>
                </c:pt>
              </c:strCache>
            </c:strRef>
          </c:tx>
          <c:spPr>
            <a:solidFill>
              <a:schemeClr val="accent1"/>
            </a:solidFill>
            <a:ln>
              <a:noFill/>
            </a:ln>
            <a:effectLst/>
          </c:spPr>
          <c:invertIfNegative val="0"/>
          <c:cat>
            <c:strRef>
              <c:f>'pivot 3'!$A$4:$A$10</c:f>
              <c:strCache>
                <c:ptCount val="6"/>
                <c:pt idx="0">
                  <c:v>Alice</c:v>
                </c:pt>
                <c:pt idx="1">
                  <c:v>Bob</c:v>
                </c:pt>
                <c:pt idx="2">
                  <c:v>Carlos</c:v>
                </c:pt>
                <c:pt idx="3">
                  <c:v>Diana</c:v>
                </c:pt>
                <c:pt idx="4">
                  <c:v>Eva</c:v>
                </c:pt>
                <c:pt idx="5">
                  <c:v>Frank</c:v>
                </c:pt>
              </c:strCache>
            </c:strRef>
          </c:cat>
          <c:val>
            <c:numRef>
              <c:f>'pivot 3'!$B$4:$B$10</c:f>
              <c:numCache>
                <c:formatCode>"$"#,##0.00</c:formatCode>
                <c:ptCount val="6"/>
                <c:pt idx="0">
                  <c:v>115812.51000000004</c:v>
                </c:pt>
                <c:pt idx="1">
                  <c:v>151079.74999999997</c:v>
                </c:pt>
                <c:pt idx="2">
                  <c:v>116860.39</c:v>
                </c:pt>
                <c:pt idx="3">
                  <c:v>64926.479999999989</c:v>
                </c:pt>
                <c:pt idx="4">
                  <c:v>95534.059999999983</c:v>
                </c:pt>
                <c:pt idx="5">
                  <c:v>99603.04</c:v>
                </c:pt>
              </c:numCache>
            </c:numRef>
          </c:val>
        </c:ser>
        <c:dLbls>
          <c:showLegendKey val="0"/>
          <c:showVal val="0"/>
          <c:showCatName val="0"/>
          <c:showSerName val="0"/>
          <c:showPercent val="0"/>
          <c:showBubbleSize val="0"/>
        </c:dLbls>
        <c:gapWidth val="219"/>
        <c:overlap val="-27"/>
        <c:axId val="338640912"/>
        <c:axId val="338641296"/>
      </c:barChart>
      <c:catAx>
        <c:axId val="338640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641296"/>
        <c:crosses val="autoZero"/>
        <c:auto val="1"/>
        <c:lblAlgn val="ctr"/>
        <c:lblOffset val="100"/>
        <c:noMultiLvlLbl val="0"/>
      </c:catAx>
      <c:valAx>
        <c:axId val="3386412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64091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[Sales_data_cleaning.xlsx]pivot 4!PivotTable4</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 4'!$B$3</c:f>
              <c:strCache>
                <c:ptCount val="1"/>
                <c:pt idx="0">
                  <c:v>Total</c:v>
                </c:pt>
              </c:strCache>
            </c:strRef>
          </c:tx>
          <c:spPr>
            <a:solidFill>
              <a:schemeClr val="accent1"/>
            </a:solidFill>
            <a:ln>
              <a:noFill/>
            </a:ln>
            <a:effectLst/>
          </c:spPr>
          <c:invertIfNegative val="0"/>
          <c:cat>
            <c:multiLvlStrRef>
              <c:f>'pivot 4'!$A$4:$A$28</c:f>
              <c:multiLvlStrCache>
                <c:ptCount val="13"/>
                <c:lvl>
                  <c:pt idx="0">
                    <c:v>Apr</c:v>
                  </c:pt>
                  <c:pt idx="1">
                    <c:v>Jun</c:v>
                  </c:pt>
                  <c:pt idx="2">
                    <c:v>Jul</c:v>
                  </c:pt>
                  <c:pt idx="3">
                    <c:v>Aug</c:v>
                  </c:pt>
                  <c:pt idx="4">
                    <c:v>Oct</c:v>
                  </c:pt>
                  <c:pt idx="5">
                    <c:v>Jan</c:v>
                  </c:pt>
                  <c:pt idx="6">
                    <c:v>Feb</c:v>
                  </c:pt>
                  <c:pt idx="7">
                    <c:v>Mar</c:v>
                  </c:pt>
                  <c:pt idx="8">
                    <c:v>May</c:v>
                  </c:pt>
                  <c:pt idx="9">
                    <c:v>Jul</c:v>
                  </c:pt>
                  <c:pt idx="10">
                    <c:v>Feb</c:v>
                  </c:pt>
                  <c:pt idx="11">
                    <c:v>Mar</c:v>
                  </c:pt>
                  <c:pt idx="12">
                    <c:v>Apr</c:v>
                  </c:pt>
                </c:lvl>
                <c:lvl>
                  <c:pt idx="0">
                    <c:v>Qtr2</c:v>
                  </c:pt>
                  <c:pt idx="2">
                    <c:v>Qtr3</c:v>
                  </c:pt>
                  <c:pt idx="4">
                    <c:v>Qtr4</c:v>
                  </c:pt>
                  <c:pt idx="5">
                    <c:v>Qtr1</c:v>
                  </c:pt>
                  <c:pt idx="8">
                    <c:v>Qtr2</c:v>
                  </c:pt>
                  <c:pt idx="9">
                    <c:v>Qtr3</c:v>
                  </c:pt>
                  <c:pt idx="10">
                    <c:v>Qtr1</c:v>
                  </c:pt>
                  <c:pt idx="12">
                    <c:v>Qtr2</c:v>
                  </c:pt>
                </c:lvl>
                <c:lvl>
                  <c:pt idx="0">
                    <c:v>2023</c:v>
                  </c:pt>
                  <c:pt idx="5">
                    <c:v>2024</c:v>
                  </c:pt>
                  <c:pt idx="10">
                    <c:v>2025</c:v>
                  </c:pt>
                </c:lvl>
              </c:multiLvlStrCache>
            </c:multiLvlStrRef>
          </c:cat>
          <c:val>
            <c:numRef>
              <c:f>'pivot 4'!$B$4:$B$28</c:f>
              <c:numCache>
                <c:formatCode>"$"#,##0.00</c:formatCode>
                <c:ptCount val="13"/>
                <c:pt idx="0">
                  <c:v>8118.24</c:v>
                </c:pt>
                <c:pt idx="1">
                  <c:v>3491.1800000000003</c:v>
                </c:pt>
                <c:pt idx="2">
                  <c:v>140.83000000000001</c:v>
                </c:pt>
                <c:pt idx="3">
                  <c:v>10795.460000000001</c:v>
                </c:pt>
                <c:pt idx="4">
                  <c:v>222.07000000000002</c:v>
                </c:pt>
                <c:pt idx="5">
                  <c:v>602.30000000000007</c:v>
                </c:pt>
                <c:pt idx="6">
                  <c:v>785.35</c:v>
                </c:pt>
                <c:pt idx="7">
                  <c:v>2833.65</c:v>
                </c:pt>
                <c:pt idx="8">
                  <c:v>8898.880000000001</c:v>
                </c:pt>
                <c:pt idx="9">
                  <c:v>2659.56</c:v>
                </c:pt>
                <c:pt idx="10">
                  <c:v>1768.5</c:v>
                </c:pt>
                <c:pt idx="11">
                  <c:v>13545.369999999999</c:v>
                </c:pt>
                <c:pt idx="12">
                  <c:v>2810.9100000000003</c:v>
                </c:pt>
              </c:numCache>
            </c:numRef>
          </c:val>
        </c:ser>
        <c:dLbls>
          <c:showLegendKey val="0"/>
          <c:showVal val="0"/>
          <c:showCatName val="0"/>
          <c:showSerName val="0"/>
          <c:showPercent val="0"/>
          <c:showBubbleSize val="0"/>
        </c:dLbls>
        <c:gapWidth val="219"/>
        <c:overlap val="-27"/>
        <c:axId val="338603248"/>
        <c:axId val="338742592"/>
      </c:barChart>
      <c:catAx>
        <c:axId val="338603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742592"/>
        <c:crosses val="autoZero"/>
        <c:auto val="1"/>
        <c:lblAlgn val="ctr"/>
        <c:lblOffset val="100"/>
        <c:noMultiLvlLbl val="0"/>
      </c:catAx>
      <c:valAx>
        <c:axId val="3387425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60324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[Sales_data_cleaning.xlsx]pivot 4!PivotTable4</c:name>
    <c:fmtId val="3"/>
  </c:pivotSource>
  <c:chart>
    <c:title>
      <c:layout/>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s>
    <c:plotArea>
      <c:layout/>
      <c:ofPieChart>
        <c:ofPieType val="pie"/>
        <c:varyColors val="1"/>
        <c:ser>
          <c:idx val="0"/>
          <c:order val="0"/>
          <c:tx>
            <c:strRef>
              <c:f>'pivot 4'!$B$3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cat>
            <c:multiLvlStrRef>
              <c:f>'pivot 4'!$A$4:$A$28</c:f>
              <c:multiLvlStrCache>
                <c:ptCount val="13"/>
                <c:lvl>
                  <c:pt idx="0">
                    <c:v>Apr</c:v>
                  </c:pt>
                  <c:pt idx="1">
                    <c:v>Jun</c:v>
                  </c:pt>
                  <c:pt idx="2">
                    <c:v>Jul</c:v>
                  </c:pt>
                  <c:pt idx="3">
                    <c:v>Aug</c:v>
                  </c:pt>
                  <c:pt idx="4">
                    <c:v>Oct</c:v>
                  </c:pt>
                  <c:pt idx="5">
                    <c:v>Jan</c:v>
                  </c:pt>
                  <c:pt idx="6">
                    <c:v>Feb</c:v>
                  </c:pt>
                  <c:pt idx="7">
                    <c:v>Mar</c:v>
                  </c:pt>
                  <c:pt idx="8">
                    <c:v>May</c:v>
                  </c:pt>
                  <c:pt idx="9">
                    <c:v>Jul</c:v>
                  </c:pt>
                  <c:pt idx="10">
                    <c:v>Feb</c:v>
                  </c:pt>
                  <c:pt idx="11">
                    <c:v>Mar</c:v>
                  </c:pt>
                  <c:pt idx="12">
                    <c:v>Apr</c:v>
                  </c:pt>
                </c:lvl>
                <c:lvl>
                  <c:pt idx="0">
                    <c:v>Qtr2</c:v>
                  </c:pt>
                  <c:pt idx="2">
                    <c:v>Qtr3</c:v>
                  </c:pt>
                  <c:pt idx="4">
                    <c:v>Qtr4</c:v>
                  </c:pt>
                  <c:pt idx="5">
                    <c:v>Qtr1</c:v>
                  </c:pt>
                  <c:pt idx="8">
                    <c:v>Qtr2</c:v>
                  </c:pt>
                  <c:pt idx="9">
                    <c:v>Qtr3</c:v>
                  </c:pt>
                  <c:pt idx="10">
                    <c:v>Qtr1</c:v>
                  </c:pt>
                  <c:pt idx="12">
                    <c:v>Qtr2</c:v>
                  </c:pt>
                </c:lvl>
                <c:lvl>
                  <c:pt idx="0">
                    <c:v>2023</c:v>
                  </c:pt>
                  <c:pt idx="5">
                    <c:v>2024</c:v>
                  </c:pt>
                  <c:pt idx="10">
                    <c:v>2025</c:v>
                  </c:pt>
                </c:lvl>
              </c:multiLvlStrCache>
            </c:multiLvlStrRef>
          </c:cat>
          <c:val>
            <c:numRef>
              <c:f>'pivot 4'!$B$4:$B$28</c:f>
              <c:numCache>
                <c:formatCode>"$"#,##0.00</c:formatCode>
                <c:ptCount val="13"/>
                <c:pt idx="0">
                  <c:v>8118.24</c:v>
                </c:pt>
                <c:pt idx="1">
                  <c:v>3491.1800000000003</c:v>
                </c:pt>
                <c:pt idx="2">
                  <c:v>140.83000000000001</c:v>
                </c:pt>
                <c:pt idx="3">
                  <c:v>10795.460000000001</c:v>
                </c:pt>
                <c:pt idx="4">
                  <c:v>222.07000000000002</c:v>
                </c:pt>
                <c:pt idx="5">
                  <c:v>602.30000000000007</c:v>
                </c:pt>
                <c:pt idx="6">
                  <c:v>785.35</c:v>
                </c:pt>
                <c:pt idx="7">
                  <c:v>2833.65</c:v>
                </c:pt>
                <c:pt idx="8">
                  <c:v>8898.880000000001</c:v>
                </c:pt>
                <c:pt idx="9">
                  <c:v>2659.56</c:v>
                </c:pt>
                <c:pt idx="10">
                  <c:v>1768.5</c:v>
                </c:pt>
                <c:pt idx="11">
                  <c:v>13545.369999999999</c:v>
                </c:pt>
                <c:pt idx="12">
                  <c:v>2810.9100000000003</c:v>
                </c:pt>
              </c:numCache>
            </c:numRef>
          </c:val>
        </c:ser>
        <c:dLbls>
          <c:showLegendKey val="0"/>
          <c:showVal val="0"/>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91440</xdr:colOff>
      <xdr:row>1</xdr:row>
      <xdr:rowOff>91440</xdr:rowOff>
    </xdr:from>
    <xdr:to>
      <xdr:col>10</xdr:col>
      <xdr:colOff>396240</xdr:colOff>
      <xdr:row>16</xdr:row>
      <xdr:rowOff>91440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457200</xdr:colOff>
      <xdr:row>0</xdr:row>
      <xdr:rowOff>83820</xdr:rowOff>
    </xdr:from>
    <xdr:to>
      <xdr:col>10</xdr:col>
      <xdr:colOff>152400</xdr:colOff>
      <xdr:row>15</xdr:row>
      <xdr:rowOff>83820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487680</xdr:colOff>
      <xdr:row>1</xdr:row>
      <xdr:rowOff>7620</xdr:rowOff>
    </xdr:from>
    <xdr:to>
      <xdr:col>10</xdr:col>
      <xdr:colOff>182880</xdr:colOff>
      <xdr:row>16</xdr:row>
      <xdr:rowOff>7620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140335</xdr:colOff>
      <xdr:row>0</xdr:row>
      <xdr:rowOff>36195</xdr:rowOff>
    </xdr:from>
    <xdr:to>
      <xdr:col>18</xdr:col>
      <xdr:colOff>426720</xdr:colOff>
      <xdr:row>14</xdr:row>
      <xdr:rowOff>152400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80010</xdr:colOff>
      <xdr:row>14</xdr:row>
      <xdr:rowOff>45720</xdr:rowOff>
    </xdr:from>
    <xdr:to>
      <xdr:col>5</xdr:col>
      <xdr:colOff>80010</xdr:colOff>
      <xdr:row>27</xdr:row>
      <xdr:rowOff>118745</xdr:rowOff>
    </xdr:to>
    <mc:AlternateContent xmlns:mc="http://schemas.openxmlformats.org/markup-compatibility/2006">
      <mc:Choice xmlns:a14="http://schemas.microsoft.com/office/drawing/2010/main" Requires="a14">
        <xdr:graphicFrame macro="">
          <xdr:nvGraphicFramePr>
            <xdr:cNvPr id="4"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061210" y="2606040"/>
              <a:ext cx="1828800" cy="24504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105410</xdr:colOff>
      <xdr:row>0</xdr:row>
      <xdr:rowOff>147320</xdr:rowOff>
    </xdr:from>
    <xdr:to>
      <xdr:col>5</xdr:col>
      <xdr:colOff>105410</xdr:colOff>
      <xdr:row>14</xdr:row>
      <xdr:rowOff>36195</xdr:rowOff>
    </xdr:to>
    <mc:AlternateContent xmlns:mc="http://schemas.openxmlformats.org/markup-compatibility/2006">
      <mc:Choice xmlns:a14="http://schemas.microsoft.com/office/drawing/2010/main" Requires="a14">
        <xdr:graphicFrame macro="">
          <xdr:nvGraphicFramePr>
            <xdr:cNvPr id="5"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2086610" y="147320"/>
              <a:ext cx="1828800" cy="24491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519430</xdr:colOff>
      <xdr:row>13</xdr:row>
      <xdr:rowOff>132081</xdr:rowOff>
    </xdr:from>
    <xdr:to>
      <xdr:col>21</xdr:col>
      <xdr:colOff>575310</xdr:colOff>
      <xdr:row>19</xdr:row>
      <xdr:rowOff>76200</xdr:rowOff>
    </xdr:to>
    <mc:AlternateContent xmlns:mc="http://schemas.openxmlformats.org/markup-compatibility/2006">
      <mc:Choice xmlns:a14="http://schemas.microsoft.com/office/drawing/2010/main" Requires="a14">
        <xdr:graphicFrame macro="">
          <xdr:nvGraphicFramePr>
            <xdr:cNvPr id="6" name="CustomerType"/>
            <xdr:cNvGraphicFramePr/>
          </xdr:nvGraphicFramePr>
          <xdr:xfrm>
            <a:off x="0" y="0"/>
            <a:ext cx="0" cy="0"/>
          </xdr:xfrm>
          <a:graphic>
            <a:graphicData uri="http://schemas.microsoft.com/office/drawing/2010/slicer">
              <sle:slicer xmlns:sle="http://schemas.microsoft.com/office/drawing/2010/slicer" name="CustomerType"/>
            </a:graphicData>
          </a:graphic>
        </xdr:graphicFrame>
      </mc:Choice>
      <mc:Fallback>
        <xdr:sp macro="" textlink="">
          <xdr:nvSpPr>
            <xdr:cNvPr id="0" name=""/>
            <xdr:cNvSpPr>
              <a:spLocks noTextEdit="1"/>
            </xdr:cNvSpPr>
          </xdr:nvSpPr>
          <xdr:spPr>
            <a:xfrm>
              <a:off x="12254230" y="2509521"/>
              <a:ext cx="1884680" cy="10413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497840</xdr:colOff>
      <xdr:row>0</xdr:row>
      <xdr:rowOff>27940</xdr:rowOff>
    </xdr:from>
    <xdr:to>
      <xdr:col>21</xdr:col>
      <xdr:colOff>497840</xdr:colOff>
      <xdr:row>13</xdr:row>
      <xdr:rowOff>100965</xdr:rowOff>
    </xdr:to>
    <mc:AlternateContent xmlns:mc="http://schemas.openxmlformats.org/markup-compatibility/2006">
      <mc:Choice xmlns:a14="http://schemas.microsoft.com/office/drawing/2010/main" Requires="a14">
        <xdr:graphicFrame macro="">
          <xdr:nvGraphicFramePr>
            <xdr:cNvPr id="7" name="PaymentMethod"/>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dr:sp macro="" textlink="">
          <xdr:nvSpPr>
            <xdr:cNvPr id="0" name=""/>
            <xdr:cNvSpPr>
              <a:spLocks noTextEdit="1"/>
            </xdr:cNvSpPr>
          </xdr:nvSpPr>
          <xdr:spPr>
            <a:xfrm>
              <a:off x="12232640" y="27940"/>
              <a:ext cx="1828800" cy="24504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520700</xdr:colOff>
      <xdr:row>19</xdr:row>
      <xdr:rowOff>57151</xdr:rowOff>
    </xdr:from>
    <xdr:to>
      <xdr:col>21</xdr:col>
      <xdr:colOff>575310</xdr:colOff>
      <xdr:row>24</xdr:row>
      <xdr:rowOff>12700</xdr:rowOff>
    </xdr:to>
    <mc:AlternateContent xmlns:mc="http://schemas.openxmlformats.org/markup-compatibility/2006">
      <mc:Choice xmlns:a14="http://schemas.microsoft.com/office/drawing/2010/main" Requires="a14">
        <xdr:graphicFrame macro="">
          <xdr:nvGraphicFramePr>
            <xdr:cNvPr id="8" name="Returned"/>
            <xdr:cNvGraphicFramePr/>
          </xdr:nvGraphicFramePr>
          <xdr:xfrm>
            <a:off x="0" y="0"/>
            <a:ext cx="0" cy="0"/>
          </xdr:xfrm>
          <a:graphic>
            <a:graphicData uri="http://schemas.microsoft.com/office/drawing/2010/slicer">
              <sle:slicer xmlns:sle="http://schemas.microsoft.com/office/drawing/2010/slicer" name="Returned"/>
            </a:graphicData>
          </a:graphic>
        </xdr:graphicFrame>
      </mc:Choice>
      <mc:Fallback>
        <xdr:sp macro="" textlink="">
          <xdr:nvSpPr>
            <xdr:cNvPr id="0" name=""/>
            <xdr:cNvSpPr>
              <a:spLocks noTextEdit="1"/>
            </xdr:cNvSpPr>
          </xdr:nvSpPr>
          <xdr:spPr>
            <a:xfrm>
              <a:off x="12255500" y="3531871"/>
              <a:ext cx="1883410" cy="8699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175260</xdr:colOff>
      <xdr:row>14</xdr:row>
      <xdr:rowOff>167640</xdr:rowOff>
    </xdr:from>
    <xdr:to>
      <xdr:col>18</xdr:col>
      <xdr:colOff>426720</xdr:colOff>
      <xdr:row>28</xdr:row>
      <xdr:rowOff>88900</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enovo" refreshedDate="46033.422019675927" createdVersion="5" refreshedVersion="5" minRefreshableVersion="3" recordCount="199">
  <cacheSource type="worksheet">
    <worksheetSource ref="A1:R200" sheet="sales data"/>
  </cacheSource>
  <cacheFields count="20">
    <cacheField name="OrderID" numFmtId="0">
      <sharedItems/>
    </cacheField>
    <cacheField name="Date" numFmtId="164">
      <sharedItems containsSemiMixedTypes="0" containsNonDate="0" containsDate="1" containsString="0" minDate="2023-01-05T00:00:00" maxDate="2025-07-01T00:00:00" count="172">
        <d v="2023-02-23T00:00:00"/>
        <d v="2024-12-19T00:00:00"/>
        <d v="2023-05-10T00:00:00"/>
        <d v="2025-02-26T00:00:00"/>
        <d v="2023-06-24T00:00:00"/>
        <d v="2024-02-20T00:00:00"/>
        <d v="2023-01-11T00:00:00"/>
        <d v="2023-01-09T00:00:00"/>
        <d v="2024-10-16T00:00:00"/>
        <d v="2025-03-05T00:00:00"/>
        <d v="2024-04-10T00:00:00"/>
        <d v="2024-07-12T00:00:00"/>
        <d v="2023-07-21T00:00:00"/>
        <d v="2025-01-18T00:00:00"/>
        <d v="2024-12-08T00:00:00"/>
        <d v="2025-05-11T00:00:00"/>
        <d v="2023-02-26T00:00:00"/>
        <d v="2024-05-28T00:00:00"/>
        <d v="2023-11-30T00:00:00"/>
        <d v="2023-06-22T00:00:00"/>
        <d v="2025-06-05T00:00:00"/>
        <d v="2023-03-03T00:00:00"/>
        <d v="2024-02-18T00:00:00"/>
        <d v="2023-08-06T00:00:00"/>
        <d v="2024-05-23T00:00:00"/>
        <d v="2023-10-23T00:00:00"/>
        <d v="2025-06-16T00:00:00"/>
        <d v="2024-11-18T00:00:00"/>
        <d v="2023-05-09T00:00:00"/>
        <d v="2024-12-07T00:00:00"/>
        <d v="2024-02-13T00:00:00"/>
        <d v="2025-03-09T00:00:00"/>
        <d v="2023-04-05T00:00:00"/>
        <d v="2025-05-08T00:00:00"/>
        <d v="2023-09-03T00:00:00"/>
        <d v="2025-03-21T00:00:00"/>
        <d v="2025-06-20T00:00:00"/>
        <d v="2024-02-15T00:00:00"/>
        <d v="2023-06-09T00:00:00"/>
        <d v="2023-08-10T00:00:00"/>
        <d v="2024-06-16T00:00:00"/>
        <d v="2023-07-23T00:00:00"/>
        <d v="2023-05-20T00:00:00"/>
        <d v="2023-06-30T00:00:00"/>
        <d v="2024-06-04T00:00:00"/>
        <d v="2025-02-03T00:00:00"/>
        <d v="2024-01-09T00:00:00"/>
        <d v="2024-03-14T00:00:00"/>
        <d v="2024-09-06T00:00:00"/>
        <d v="2023-03-17T00:00:00"/>
        <d v="2025-01-17T00:00:00"/>
        <d v="2024-09-12T00:00:00"/>
        <d v="2024-01-05T00:00:00"/>
        <d v="2024-04-19T00:00:00"/>
        <d v="2025-06-11T00:00:00"/>
        <d v="2025-03-06T00:00:00"/>
        <d v="2023-05-24T00:00:00"/>
        <d v="2023-01-27T00:00:00"/>
        <d v="2024-03-21T00:00:00"/>
        <d v="2025-01-25T00:00:00"/>
        <d v="2023-06-12T00:00:00"/>
        <d v="2025-03-22T00:00:00"/>
        <d v="2024-02-24T00:00:00"/>
        <d v="2023-12-09T00:00:00"/>
        <d v="2023-10-01T00:00:00"/>
        <d v="2023-07-31T00:00:00"/>
        <d v="2024-12-24T00:00:00"/>
        <d v="2024-11-15T00:00:00"/>
        <d v="2025-03-13T00:00:00"/>
        <d v="2024-03-03T00:00:00"/>
        <d v="2023-02-11T00:00:00"/>
        <d v="2023-10-26T00:00:00"/>
        <d v="2023-10-21T00:00:00"/>
        <d v="2024-01-14T00:00:00"/>
        <d v="2023-07-27T00:00:00"/>
        <d v="2024-10-23T00:00:00"/>
        <d v="2023-09-26T00:00:00"/>
        <d v="2023-12-16T00:00:00"/>
        <d v="2024-01-02T00:00:00"/>
        <d v="2024-02-16T00:00:00"/>
        <d v="2024-05-03T00:00:00"/>
        <d v="2023-05-27T00:00:00"/>
        <d v="2023-01-05T00:00:00"/>
        <d v="2025-05-21T00:00:00"/>
        <d v="2025-05-25T00:00:00"/>
        <d v="2024-11-16T00:00:00"/>
        <d v="2023-11-19T00:00:00"/>
        <d v="2025-01-12T00:00:00"/>
        <d v="2023-03-29T00:00:00"/>
        <d v="2025-03-01T00:00:00"/>
        <d v="2023-10-18T00:00:00"/>
        <d v="2025-04-13T00:00:00"/>
        <d v="2025-05-13T00:00:00"/>
        <d v="2024-04-21T00:00:00"/>
        <d v="2025-01-31T00:00:00"/>
        <d v="2025-03-14T00:00:00"/>
        <d v="2024-05-26T00:00:00"/>
        <d v="2023-07-22T00:00:00"/>
        <d v="2024-08-26T00:00:00"/>
        <d v="2024-07-07T00:00:00"/>
        <d v="2023-09-29T00:00:00"/>
        <d v="2023-10-04T00:00:00"/>
        <d v="2025-06-09T00:00:00"/>
        <d v="2025-06-12T00:00:00"/>
        <d v="2024-06-29T00:00:00"/>
        <d v="2024-03-23T00:00:00"/>
        <d v="2024-07-14T00:00:00"/>
        <d v="2024-03-15T00:00:00"/>
        <d v="2025-04-19T00:00:00"/>
        <d v="2024-01-25T00:00:00"/>
        <d v="2025-04-15T00:00:00"/>
        <d v="2024-08-11T00:00:00"/>
        <d v="2023-12-01T00:00:00"/>
        <d v="2024-01-24T00:00:00"/>
        <d v="2024-03-07T00:00:00"/>
        <d v="2024-01-22T00:00:00"/>
        <d v="2023-06-14T00:00:00"/>
        <d v="2024-07-30T00:00:00"/>
        <d v="2024-07-18T00:00:00"/>
        <d v="2025-06-08T00:00:00"/>
        <d v="2025-05-16T00:00:00"/>
        <d v="2023-09-17T00:00:00"/>
        <d v="2023-03-13T00:00:00"/>
        <d v="2023-07-14T00:00:00"/>
        <d v="2024-03-22T00:00:00"/>
        <d v="2024-05-14T00:00:00"/>
        <d v="2023-05-30T00:00:00"/>
        <d v="2023-03-19T00:00:00"/>
        <d v="2023-08-09T00:00:00"/>
        <d v="2024-10-13T00:00:00"/>
        <d v="2025-02-17T00:00:00"/>
        <d v="2024-04-29T00:00:00"/>
        <d v="2023-03-18T00:00:00"/>
        <d v="2024-12-21T00:00:00"/>
        <d v="2023-04-23T00:00:00"/>
        <d v="2025-01-20T00:00:00"/>
        <d v="2025-03-28T00:00:00"/>
        <d v="2024-11-08T00:00:00"/>
        <d v="2024-03-17T00:00:00"/>
        <d v="2023-08-29T00:00:00"/>
        <d v="2023-05-14T00:00:00"/>
        <d v="2023-03-11T00:00:00"/>
        <d v="2024-08-24T00:00:00"/>
        <d v="2024-02-23T00:00:00"/>
        <d v="2024-01-30T00:00:00"/>
        <d v="2024-01-23T00:00:00"/>
        <d v="2023-12-21T00:00:00"/>
        <d v="2023-05-25T00:00:00"/>
        <d v="2025-06-30T00:00:00"/>
        <d v="2025-02-12T00:00:00"/>
        <d v="2024-01-03T00:00:00"/>
        <d v="2023-02-03T00:00:00"/>
        <d v="2024-03-01T00:00:00"/>
        <d v="2025-06-22T00:00:00"/>
        <d v="2023-04-10T00:00:00"/>
        <d v="2025-03-04T00:00:00"/>
        <d v="2024-07-11T00:00:00"/>
        <d v="2024-08-17T00:00:00"/>
        <d v="2024-11-06T00:00:00"/>
        <d v="2025-04-01T00:00:00"/>
        <d v="2024-07-01T00:00:00"/>
        <d v="2023-06-27T00:00:00"/>
        <d v="2023-02-08T00:00:00"/>
        <d v="2024-06-28T00:00:00"/>
        <d v="2024-04-15T00:00:00"/>
        <d v="2023-11-27T00:00:00"/>
        <d v="2025-03-27T00:00:00"/>
        <d v="2024-12-13T00:00:00"/>
        <d v="2023-11-26T00:00:00"/>
        <d v="2023-02-14T00:00:00"/>
        <d v="2025-02-02T00:00:00"/>
        <d v="2023-04-11T00:00:00"/>
      </sharedItems>
    </cacheField>
    <cacheField name="Region" numFmtId="0">
      <sharedItems count="5">
        <s v="East"/>
        <s v="South"/>
        <s v="North"/>
        <s v="Central"/>
        <s v="West"/>
      </sharedItems>
    </cacheField>
    <cacheField name="Product" numFmtId="0">
      <sharedItems count="7">
        <s v="Laptop"/>
        <s v="Phone"/>
        <s v="Desk"/>
        <s v="Chair"/>
        <s v="Monitor"/>
        <s v="Tablet"/>
        <s v="Printer"/>
      </sharedItems>
    </cacheField>
    <cacheField name="Quantity" numFmtId="0">
      <sharedItems containsSemiMixedTypes="0" containsString="0" containsNumber="1" containsInteger="1" minValue="1" maxValue="20"/>
    </cacheField>
    <cacheField name="UnitPrice" numFmtId="165">
      <sharedItems containsSemiMixedTypes="0" containsString="0" containsNumber="1" minValue="15.85" maxValue="589.48"/>
    </cacheField>
    <cacheField name="StoreLocation" numFmtId="49">
      <sharedItems/>
    </cacheField>
    <cacheField name="CustomerType" numFmtId="49">
      <sharedItems count="2">
        <s v="Wholesale"/>
        <s v="Retail"/>
      </sharedItems>
    </cacheField>
    <cacheField name="Discount" numFmtId="10">
      <sharedItems containsSemiMixedTypes="0" containsString="0" containsNumber="1" minValue="0" maxValue="0.15"/>
    </cacheField>
    <cacheField name="Salesperson" numFmtId="49">
      <sharedItems count="6">
        <s v="Eva"/>
        <s v="Alice"/>
        <s v="Frank"/>
        <s v="Carlos"/>
        <s v="Diana"/>
        <s v="Bob"/>
      </sharedItems>
    </cacheField>
    <cacheField name="PaymentMethod" numFmtId="49">
      <sharedItems count="5">
        <s v="Online"/>
        <s v="Gift Card"/>
        <s v="Credit Card"/>
        <s v="Debit Card"/>
        <s v="Cash"/>
      </sharedItems>
    </cacheField>
    <cacheField name="Returned" numFmtId="0">
      <sharedItems containsSemiMixedTypes="0" containsString="0" containsNumber="1" containsInteger="1" minValue="0" maxValue="1" count="2">
        <n v="0"/>
        <n v="1"/>
      </sharedItems>
    </cacheField>
    <cacheField name="CustomerName" numFmtId="49">
      <sharedItems/>
    </cacheField>
    <cacheField name="ShippingCost" numFmtId="165">
      <sharedItems containsSemiMixedTypes="0" containsString="0" containsNumber="1" minValue="5.01" maxValue="49.93"/>
    </cacheField>
    <cacheField name="OrderDate" numFmtId="14">
      <sharedItems containsSemiMixedTypes="0" containsNonDate="0" containsDate="1" containsString="0" minDate="2023-01-05T00:00:00" maxDate="2025-07-01T00:00:00" count="172">
        <d v="2023-02-23T00:00:00"/>
        <d v="2024-12-19T00:00:00"/>
        <d v="2023-05-10T00:00:00"/>
        <d v="2025-02-26T00:00:00"/>
        <d v="2023-06-24T00:00:00"/>
        <d v="2024-02-20T00:00:00"/>
        <d v="2023-01-11T00:00:00"/>
        <d v="2023-01-09T00:00:00"/>
        <d v="2024-10-16T00:00:00"/>
        <d v="2025-03-05T00:00:00"/>
        <d v="2024-04-10T00:00:00"/>
        <d v="2024-07-12T00:00:00"/>
        <d v="2023-07-21T00:00:00"/>
        <d v="2025-01-18T00:00:00"/>
        <d v="2024-12-08T00:00:00"/>
        <d v="2025-05-11T00:00:00"/>
        <d v="2023-02-26T00:00:00"/>
        <d v="2024-05-28T00:00:00"/>
        <d v="2023-11-30T00:00:00"/>
        <d v="2023-06-22T00:00:00"/>
        <d v="2025-06-05T00:00:00"/>
        <d v="2023-03-03T00:00:00"/>
        <d v="2024-02-18T00:00:00"/>
        <d v="2023-08-06T00:00:00"/>
        <d v="2024-05-23T00:00:00"/>
        <d v="2023-10-23T00:00:00"/>
        <d v="2025-06-16T00:00:00"/>
        <d v="2024-11-18T00:00:00"/>
        <d v="2023-05-09T00:00:00"/>
        <d v="2024-12-07T00:00:00"/>
        <d v="2024-02-13T00:00:00"/>
        <d v="2025-03-09T00:00:00"/>
        <d v="2023-04-05T00:00:00"/>
        <d v="2025-05-08T00:00:00"/>
        <d v="2023-09-03T00:00:00"/>
        <d v="2025-03-21T00:00:00"/>
        <d v="2025-06-20T00:00:00"/>
        <d v="2024-02-15T00:00:00"/>
        <d v="2023-06-09T00:00:00"/>
        <d v="2023-08-10T00:00:00"/>
        <d v="2024-06-16T00:00:00"/>
        <d v="2023-07-23T00:00:00"/>
        <d v="2023-05-20T00:00:00"/>
        <d v="2023-06-30T00:00:00"/>
        <d v="2024-06-04T00:00:00"/>
        <d v="2025-02-03T00:00:00"/>
        <d v="2024-01-09T00:00:00"/>
        <d v="2024-03-14T00:00:00"/>
        <d v="2024-09-06T00:00:00"/>
        <d v="2023-03-17T00:00:00"/>
        <d v="2025-01-17T00:00:00"/>
        <d v="2024-09-12T00:00:00"/>
        <d v="2024-01-05T00:00:00"/>
        <d v="2024-04-19T00:00:00"/>
        <d v="2025-06-11T00:00:00"/>
        <d v="2025-03-06T00:00:00"/>
        <d v="2023-05-24T00:00:00"/>
        <d v="2023-01-27T00:00:00"/>
        <d v="2024-03-21T00:00:00"/>
        <d v="2025-01-25T00:00:00"/>
        <d v="2023-06-12T00:00:00"/>
        <d v="2025-03-22T00:00:00"/>
        <d v="2024-02-24T00:00:00"/>
        <d v="2023-12-09T00:00:00"/>
        <d v="2023-10-01T00:00:00"/>
        <d v="2023-07-31T00:00:00"/>
        <d v="2024-12-24T00:00:00"/>
        <d v="2024-11-15T00:00:00"/>
        <d v="2025-03-13T00:00:00"/>
        <d v="2024-03-03T00:00:00"/>
        <d v="2023-02-11T00:00:00"/>
        <d v="2023-10-26T00:00:00"/>
        <d v="2023-10-21T00:00:00"/>
        <d v="2024-01-14T00:00:00"/>
        <d v="2023-07-27T00:00:00"/>
        <d v="2024-10-23T00:00:00"/>
        <d v="2023-09-26T00:00:00"/>
        <d v="2023-12-16T00:00:00"/>
        <d v="2024-01-02T00:00:00"/>
        <d v="2024-02-16T00:00:00"/>
        <d v="2024-05-03T00:00:00"/>
        <d v="2023-05-27T00:00:00"/>
        <d v="2023-01-05T00:00:00"/>
        <d v="2025-05-21T00:00:00"/>
        <d v="2025-05-25T00:00:00"/>
        <d v="2024-11-16T00:00:00"/>
        <d v="2023-11-19T00:00:00"/>
        <d v="2025-01-12T00:00:00"/>
        <d v="2023-03-29T00:00:00"/>
        <d v="2025-03-01T00:00:00"/>
        <d v="2023-10-18T00:00:00"/>
        <d v="2025-04-13T00:00:00"/>
        <d v="2025-05-13T00:00:00"/>
        <d v="2024-04-21T00:00:00"/>
        <d v="2025-01-31T00:00:00"/>
        <d v="2025-03-14T00:00:00"/>
        <d v="2024-05-26T00:00:00"/>
        <d v="2023-07-22T00:00:00"/>
        <d v="2024-08-26T00:00:00"/>
        <d v="2024-07-07T00:00:00"/>
        <d v="2023-09-29T00:00:00"/>
        <d v="2023-10-04T00:00:00"/>
        <d v="2025-06-09T00:00:00"/>
        <d v="2025-06-12T00:00:00"/>
        <d v="2024-06-29T00:00:00"/>
        <d v="2024-03-23T00:00:00"/>
        <d v="2024-07-14T00:00:00"/>
        <d v="2024-03-15T00:00:00"/>
        <d v="2025-04-19T00:00:00"/>
        <d v="2024-01-25T00:00:00"/>
        <d v="2025-04-15T00:00:00"/>
        <d v="2024-08-11T00:00:00"/>
        <d v="2023-12-01T00:00:00"/>
        <d v="2024-01-24T00:00:00"/>
        <d v="2024-03-07T00:00:00"/>
        <d v="2024-01-22T00:00:00"/>
        <d v="2023-06-14T00:00:00"/>
        <d v="2024-07-30T00:00:00"/>
        <d v="2024-07-18T00:00:00"/>
        <d v="2025-06-08T00:00:00"/>
        <d v="2025-05-16T00:00:00"/>
        <d v="2023-09-17T00:00:00"/>
        <d v="2023-03-13T00:00:00"/>
        <d v="2023-07-14T00:00:00"/>
        <d v="2024-03-22T00:00:00"/>
        <d v="2024-05-14T00:00:00"/>
        <d v="2023-05-30T00:00:00"/>
        <d v="2023-03-19T00:00:00"/>
        <d v="2023-08-09T00:00:00"/>
        <d v="2024-10-13T00:00:00"/>
        <d v="2025-02-17T00:00:00"/>
        <d v="2024-04-29T00:00:00"/>
        <d v="2023-03-18T00:00:00"/>
        <d v="2024-12-21T00:00:00"/>
        <d v="2023-04-23T00:00:00"/>
        <d v="2025-01-20T00:00:00"/>
        <d v="2025-03-28T00:00:00"/>
        <d v="2024-11-08T00:00:00"/>
        <d v="2024-03-17T00:00:00"/>
        <d v="2023-08-29T00:00:00"/>
        <d v="2023-05-14T00:00:00"/>
        <d v="2023-03-11T00:00:00"/>
        <d v="2024-08-24T00:00:00"/>
        <d v="2024-02-23T00:00:00"/>
        <d v="2024-01-30T00:00:00"/>
        <d v="2024-01-23T00:00:00"/>
        <d v="2023-12-21T00:00:00"/>
        <d v="2023-05-25T00:00:00"/>
        <d v="2025-06-30T00:00:00"/>
        <d v="2025-02-12T00:00:00"/>
        <d v="2024-01-03T00:00:00"/>
        <d v="2023-02-03T00:00:00"/>
        <d v="2024-03-01T00:00:00"/>
        <d v="2025-06-22T00:00:00"/>
        <d v="2023-04-10T00:00:00"/>
        <d v="2025-03-04T00:00:00"/>
        <d v="2024-07-11T00:00:00"/>
        <d v="2024-08-17T00:00:00"/>
        <d v="2024-11-06T00:00:00"/>
        <d v="2025-04-01T00:00:00"/>
        <d v="2024-07-01T00:00:00"/>
        <d v="2023-06-27T00:00:00"/>
        <d v="2023-02-08T00:00:00"/>
        <d v="2024-06-28T00:00:00"/>
        <d v="2024-04-15T00:00:00"/>
        <d v="2023-11-27T00:00:00"/>
        <d v="2025-03-27T00:00:00"/>
        <d v="2024-12-13T00:00:00"/>
        <d v="2023-11-26T00:00:00"/>
        <d v="2023-02-14T00:00:00"/>
        <d v="2025-02-02T00:00:00"/>
        <d v="2023-04-11T00:00:00"/>
      </sharedItems>
      <fieldGroup par="19" base="14">
        <rangePr groupBy="months" startDate="2023-01-05T00:00:00" endDate="2025-07-01T00:00:00"/>
        <groupItems count="14">
          <s v="&lt;1/5/2023"/>
          <s v="Jan"/>
          <s v="Feb"/>
          <s v="Mar"/>
          <s v="Apr"/>
          <s v="May"/>
          <s v="Jun"/>
          <s v="Jul"/>
          <s v="Aug"/>
          <s v="Sep"/>
          <s v="Oct"/>
          <s v="Nov"/>
          <s v="Dec"/>
          <s v="&gt;7/1/2025"/>
        </groupItems>
      </fieldGroup>
    </cacheField>
    <cacheField name="DeliveryDate" numFmtId="14">
      <sharedItems containsSemiMixedTypes="0" containsNonDate="0" containsDate="1" containsString="0" minDate="2023-01-08T00:00:00" maxDate="2025-07-10T00:00:00"/>
    </cacheField>
    <cacheField name="RegionManager" numFmtId="49">
      <sharedItems/>
    </cacheField>
    <cacheField name="Total Price" numFmtId="0">
      <sharedItems containsMixedTypes="1" containsNumber="1" minValue="88.259999999999991" maxValue="11000.17" count="199">
        <s v="Total Price"/>
        <n v="549.30999999999995"/>
        <n v="4866.88"/>
        <n v="6954.56"/>
        <n v="4285.41"/>
        <n v="781.94999999999993"/>
        <n v="127.42"/>
        <n v="1038.5200000000002"/>
        <n v="1338.18"/>
        <n v="1657.3999999999999"/>
        <n v="7861.34"/>
        <n v="3984.44"/>
        <n v="140.83000000000001"/>
        <n v="200.5"/>
        <n v="3344.0099999999998"/>
        <n v="2778.38"/>
        <n v="4520.2"/>
        <n v="6339.2"/>
        <n v="10400.08"/>
        <n v="438.72"/>
        <n v="3218.93"/>
        <n v="4425.84"/>
        <n v="5572.75"/>
        <n v="5700.4600000000009"/>
        <n v="1486.74"/>
        <n v="7347.9"/>
        <n v="113.32000000000001"/>
        <n v="1142.74"/>
        <n v="186.01000000000002"/>
        <n v="505.14"/>
        <n v="3712.8600000000006"/>
        <n v="3055.5899999999997"/>
        <n v="411.13"/>
        <n v="8118.24"/>
        <n v="2280.64"/>
        <n v="1162.53"/>
        <n v="3129.1299999999997"/>
        <n v="2141.8899999999994"/>
        <n v="6018.49"/>
        <n v="1041.2"/>
        <n v="2369.27"/>
        <n v="1325.0700000000002"/>
        <n v="468.89000000000004"/>
        <n v="1864.48"/>
        <n v="843.69"/>
        <n v="4862.04"/>
        <n v="389.23"/>
        <n v="4666.4800000000005"/>
        <n v="846.22"/>
        <n v="3420.04"/>
        <n v="870.63999999999987"/>
        <n v="545.87"/>
        <n v="288.52999999999997"/>
        <n v="779.06000000000006"/>
        <n v="3207.88"/>
        <n v="2596.5299999999997"/>
        <n v="2494.4500000000003"/>
        <n v="520.15"/>
        <n v="4146.18"/>
        <n v="5719.6599999999989"/>
        <n v="5914.71"/>
        <n v="2449.98"/>
        <n v="1441.69"/>
        <n v="785.35"/>
        <n v="7689.3200000000006"/>
        <n v="222.07000000000002"/>
        <n v="2464.7899999999995"/>
        <n v="3288.8999999999996"/>
        <n v="194.45"/>
        <n v="624.07000000000005"/>
        <n v="4941.0100000000011"/>
        <n v="10965.99"/>
        <n v="6304.369999999999"/>
        <n v="2579.39"/>
        <n v="602.30000000000007"/>
        <n v="5570.2999999999993"/>
        <n v="6251.5899999999992"/>
        <n v="2765.62"/>
        <n v="3187.2500000000005"/>
        <n v="6726.65"/>
        <n v="373.77"/>
        <n v="2108.63"/>
        <n v="2576.0700000000002"/>
        <n v="7031.4"/>
        <n v="2631.2599999999998"/>
        <n v="7378.69"/>
        <n v="261.24"/>
        <n v="11000.17"/>
        <n v="8449.7000000000007"/>
        <n v="6219.16"/>
        <n v="10657.25"/>
        <n v="1453.95"/>
        <n v="5947.7"/>
        <n v="4634.91"/>
        <n v="3233.17"/>
        <n v="5267.9"/>
        <n v="351.26"/>
        <n v="5075.3099999999995"/>
        <n v="9876.91"/>
        <n v="7981.48"/>
        <n v="4467.24"/>
        <n v="695.31"/>
        <n v="1137.4199999999998"/>
        <n v="1727.5700000000002"/>
        <n v="2386.2600000000002"/>
        <n v="605.09999999999991"/>
        <n v="175.88"/>
        <n v="7378.73"/>
        <n v="525.23"/>
        <n v="575.01"/>
        <n v="646.04"/>
        <n v="1343.78"/>
        <n v="603.58999999999992"/>
        <n v="9690.1500000000015"/>
        <n v="1106.3599999999999"/>
        <n v="3809.23"/>
        <n v="2810.9100000000003"/>
        <n v="583.36"/>
        <n v="2033.2800000000002"/>
        <n v="5095"/>
        <n v="2869.34"/>
        <n v="2833.65"/>
        <n v="557.9899999999999"/>
        <n v="116.88"/>
        <n v="2625.63"/>
        <n v="6170.57"/>
        <n v="2659.56"/>
        <n v="143.49"/>
        <n v="9799.6200000000008"/>
        <n v="3214.8399999999997"/>
        <n v="5135.2300000000005"/>
        <n v="6225.86"/>
        <n v="5666.58"/>
        <n v="3504.4900000000002"/>
        <n v="2288.1499999999996"/>
        <n v="2982.3"/>
        <n v="3808.13"/>
        <n v="2559.6800000000003"/>
        <n v="874.09"/>
        <n v="900.62"/>
        <n v="3658.18"/>
        <n v="5438.17"/>
        <n v="6534.2100000000009"/>
        <n v="2771.27"/>
        <n v="686.43999999999994"/>
        <n v="9230.11"/>
        <n v="3454.5"/>
        <n v="5684.17"/>
        <n v="3174.9599999999996"/>
        <n v="3493.1400000000003"/>
        <n v="1191.17"/>
        <n v="1140.8300000000002"/>
        <n v="6298.4400000000005"/>
        <n v="5656.57"/>
        <n v="3212.9200000000005"/>
        <n v="586.13"/>
        <n v="1631.8700000000001"/>
        <n v="4115.24"/>
        <n v="2832.61"/>
        <n v="1999.46"/>
        <n v="3791.96"/>
        <n v="574.37"/>
        <n v="88.259999999999991"/>
        <n v="1931.79"/>
        <n v="1346.07"/>
        <n v="967.01"/>
        <n v="8856.07"/>
        <n v="1998.2099999999998"/>
        <n v="6893.72"/>
        <n v="590.01"/>
        <n v="1370.1399999999999"/>
        <n v="2010.5200000000002"/>
        <n v="3299.09"/>
        <n v="9235.07"/>
        <n v="2910.3699999999994"/>
        <n v="8995.23"/>
        <n v="827.46"/>
        <n v="3899.24"/>
        <n v="3353.77"/>
        <n v="5498.55"/>
        <n v="1260.5000000000002"/>
        <n v="1548.0400000000002"/>
        <n v="187.35999999999999"/>
        <n v="1172.3700000000001"/>
        <n v="7618.11"/>
        <n v="7211.68"/>
        <n v="4555.3999999999996"/>
        <n v="1746.19"/>
        <n v="1089.9299999999998"/>
        <n v="323.8"/>
        <n v="6480.49"/>
        <n v="448.86"/>
        <n v="3515.79"/>
        <n v="863.97"/>
        <n v="2280.86"/>
        <n v="1307.4700000000003"/>
        <n v="3318.55"/>
        <n v="1768.5"/>
        <n v="1475.96"/>
      </sharedItems>
    </cacheField>
    <cacheField name="Quarters" numFmtId="0" databaseField="0">
      <fieldGroup base="14">
        <rangePr groupBy="quarters" startDate="2023-01-05T00:00:00" endDate="2025-07-01T00:00:00"/>
        <groupItems count="6">
          <s v="&lt;1/5/2023"/>
          <s v="Qtr1"/>
          <s v="Qtr2"/>
          <s v="Qtr3"/>
          <s v="Qtr4"/>
          <s v="&gt;7/1/2025"/>
        </groupItems>
      </fieldGroup>
    </cacheField>
    <cacheField name="Years" numFmtId="0" databaseField="0">
      <fieldGroup base="14">
        <rangePr groupBy="years" startDate="2023-01-05T00:00:00" endDate="2025-07-01T00:00:00"/>
        <groupItems count="5">
          <s v="&lt;1/5/2023"/>
          <s v="2023"/>
          <s v="2024"/>
          <s v="2025"/>
          <s v="&gt;7/1/2025"/>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99">
  <r>
    <s v="REG100000"/>
    <x v="0"/>
    <x v="0"/>
    <x v="0"/>
    <n v="14"/>
    <n v="163.6"/>
    <s v="Store B"/>
    <x v="0"/>
    <n v="0"/>
    <x v="0"/>
    <x v="0"/>
    <x v="0"/>
    <s v="Cust 6583"/>
    <n v="43.34"/>
    <x v="0"/>
    <d v="2023-02-27T00:00:00"/>
    <s v="Eric"/>
    <x v="0"/>
  </r>
  <r>
    <s v="REG100001"/>
    <x v="1"/>
    <x v="1"/>
    <x v="1"/>
    <n v="1"/>
    <n v="544.01"/>
    <s v="Store A"/>
    <x v="1"/>
    <n v="0"/>
    <x v="1"/>
    <x v="1"/>
    <x v="0"/>
    <s v="Cust 2144"/>
    <n v="5.3"/>
    <x v="1"/>
    <d v="2024-12-28T00:00:00"/>
    <s v="Sophie"/>
    <x v="1"/>
  </r>
  <r>
    <s v="REG100002"/>
    <x v="2"/>
    <x v="2"/>
    <x v="2"/>
    <n v="14"/>
    <n v="346.18"/>
    <s v="Store B"/>
    <x v="0"/>
    <n v="0.1"/>
    <x v="1"/>
    <x v="0"/>
    <x v="0"/>
    <s v="Cust 5998"/>
    <n v="20.46"/>
    <x v="2"/>
    <d v="2023-05-19T00:00:00"/>
    <s v="Ryan"/>
    <x v="2"/>
  </r>
  <r>
    <s v="REG100003"/>
    <x v="3"/>
    <x v="3"/>
    <x v="3"/>
    <n v="18"/>
    <n v="384.82"/>
    <s v="Store A"/>
    <x v="0"/>
    <n v="0.15"/>
    <x v="2"/>
    <x v="1"/>
    <x v="0"/>
    <s v="Cust 7136"/>
    <n v="27.95"/>
    <x v="3"/>
    <d v="2025-03-02T00:00:00"/>
    <s v="Cameron"/>
    <x v="3"/>
  </r>
  <r>
    <s v="REG100004"/>
    <x v="4"/>
    <x v="0"/>
    <x v="2"/>
    <n v="18"/>
    <n v="237.76"/>
    <s v="Store C"/>
    <x v="1"/>
    <n v="0"/>
    <x v="3"/>
    <x v="0"/>
    <x v="0"/>
    <s v="Cust 6506"/>
    <n v="5.73"/>
    <x v="4"/>
    <d v="2023-06-27T00:00:00"/>
    <s v="Eric"/>
    <x v="4"/>
  </r>
  <r>
    <s v="REG100005"/>
    <x v="5"/>
    <x v="3"/>
    <x v="4"/>
    <n v="2"/>
    <n v="385.09"/>
    <s v="Store D"/>
    <x v="0"/>
    <n v="0.15"/>
    <x v="4"/>
    <x v="2"/>
    <x v="0"/>
    <s v="Cust 3909"/>
    <n v="11.92"/>
    <x v="5"/>
    <d v="2024-03-01T00:00:00"/>
    <s v="Cameron"/>
    <x v="5"/>
  </r>
  <r>
    <s v="REG100006"/>
    <x v="6"/>
    <x v="1"/>
    <x v="3"/>
    <n v="7"/>
    <n v="17.5"/>
    <s v="Store C"/>
    <x v="1"/>
    <n v="0.1"/>
    <x v="1"/>
    <x v="3"/>
    <x v="0"/>
    <s v="Cust 7887"/>
    <n v="5.0199999999999996"/>
    <x v="6"/>
    <d v="2023-01-14T00:00:00"/>
    <s v="Sophie"/>
    <x v="6"/>
  </r>
  <r>
    <s v="REG100007"/>
    <x v="7"/>
    <x v="3"/>
    <x v="3"/>
    <n v="3"/>
    <n v="330.22"/>
    <s v="Store C"/>
    <x v="0"/>
    <n v="0.15"/>
    <x v="3"/>
    <x v="4"/>
    <x v="0"/>
    <s v="Cust 5301"/>
    <n v="48.01"/>
    <x v="7"/>
    <d v="2023-01-11T00:00:00"/>
    <s v="Cameron"/>
    <x v="7"/>
  </r>
  <r>
    <s v="REG100008"/>
    <x v="8"/>
    <x v="1"/>
    <x v="3"/>
    <n v="3"/>
    <n v="432.04"/>
    <s v="Store D"/>
    <x v="0"/>
    <n v="0.05"/>
    <x v="5"/>
    <x v="3"/>
    <x v="1"/>
    <s v="Cust 2284"/>
    <n v="42.11"/>
    <x v="8"/>
    <d v="2024-10-18T00:00:00"/>
    <s v="Sophie"/>
    <x v="8"/>
  </r>
  <r>
    <s v="REG100009"/>
    <x v="9"/>
    <x v="4"/>
    <x v="2"/>
    <n v="5"/>
    <n v="323.27999999999997"/>
    <s v="Store D"/>
    <x v="1"/>
    <n v="0.1"/>
    <x v="2"/>
    <x v="1"/>
    <x v="0"/>
    <s v="Cust 3732"/>
    <n v="41.1"/>
    <x v="9"/>
    <d v="2025-03-13T00:00:00"/>
    <s v="Wendy"/>
    <x v="9"/>
  </r>
  <r>
    <s v="REG100010"/>
    <x v="10"/>
    <x v="2"/>
    <x v="2"/>
    <n v="15"/>
    <n v="523.29"/>
    <s v="Store B"/>
    <x v="0"/>
    <n v="0.15"/>
    <x v="0"/>
    <x v="3"/>
    <x v="0"/>
    <s v="Cust 1462"/>
    <n v="12.14"/>
    <x v="10"/>
    <d v="2024-04-17T00:00:00"/>
    <s v="Ryan"/>
    <x v="10"/>
  </r>
  <r>
    <s v="REG100011"/>
    <x v="11"/>
    <x v="0"/>
    <x v="1"/>
    <n v="19"/>
    <n v="207.35"/>
    <s v="Store D"/>
    <x v="1"/>
    <n v="0.1"/>
    <x v="0"/>
    <x v="1"/>
    <x v="1"/>
    <s v="Cust 4330"/>
    <n v="44.89"/>
    <x v="11"/>
    <d v="2024-07-18T00:00:00"/>
    <s v="Eric"/>
    <x v="11"/>
  </r>
  <r>
    <s v="REG100012"/>
    <x v="12"/>
    <x v="3"/>
    <x v="1"/>
    <n v="1"/>
    <n v="120.53"/>
    <s v="Store B"/>
    <x v="1"/>
    <n v="0.05"/>
    <x v="4"/>
    <x v="4"/>
    <x v="0"/>
    <s v="Cust 2372"/>
    <n v="20.350000000000001"/>
    <x v="12"/>
    <d v="2023-07-31T00:00:00"/>
    <s v="Cameron"/>
    <x v="12"/>
  </r>
  <r>
    <s v="REG100013"/>
    <x v="13"/>
    <x v="4"/>
    <x v="5"/>
    <n v="1"/>
    <n v="157.83000000000001"/>
    <s v="Store A"/>
    <x v="0"/>
    <n v="0.15"/>
    <x v="3"/>
    <x v="3"/>
    <x v="0"/>
    <s v="Cust 4672"/>
    <n v="42.82"/>
    <x v="13"/>
    <d v="2025-01-22T00:00:00"/>
    <s v="Wendy"/>
    <x v="13"/>
  </r>
  <r>
    <s v="REG100014"/>
    <x v="14"/>
    <x v="2"/>
    <x v="2"/>
    <n v="15"/>
    <n v="220.3"/>
    <s v="Store B"/>
    <x v="1"/>
    <n v="0.15"/>
    <x v="4"/>
    <x v="3"/>
    <x v="0"/>
    <s v="Cust 4548"/>
    <n v="39.659999999999997"/>
    <x v="14"/>
    <d v="2024-12-15T00:00:00"/>
    <s v="Ryan"/>
    <x v="14"/>
  </r>
  <r>
    <s v="REG100015"/>
    <x v="15"/>
    <x v="4"/>
    <x v="3"/>
    <n v="17"/>
    <n v="162.96"/>
    <s v="Store A"/>
    <x v="0"/>
    <n v="0.05"/>
    <x v="0"/>
    <x v="1"/>
    <x v="0"/>
    <s v="Cust 7037"/>
    <n v="8.11"/>
    <x v="15"/>
    <d v="2025-05-17T00:00:00"/>
    <s v="Wendy"/>
    <x v="15"/>
  </r>
  <r>
    <s v="REG100016"/>
    <x v="16"/>
    <x v="4"/>
    <x v="0"/>
    <n v="19"/>
    <n v="236.11"/>
    <s v="Store D"/>
    <x v="0"/>
    <n v="0"/>
    <x v="5"/>
    <x v="0"/>
    <x v="0"/>
    <s v="Cust 4975"/>
    <n v="34.11"/>
    <x v="16"/>
    <d v="2023-03-04T00:00:00"/>
    <s v="Wendy"/>
    <x v="16"/>
  </r>
  <r>
    <s v="REG100017"/>
    <x v="17"/>
    <x v="3"/>
    <x v="2"/>
    <n v="11"/>
    <n v="573.14"/>
    <s v="Store D"/>
    <x v="1"/>
    <n v="0.05"/>
    <x v="4"/>
    <x v="4"/>
    <x v="0"/>
    <s v="Cust 8014"/>
    <n v="34.71"/>
    <x v="17"/>
    <d v="2024-06-01T00:00:00"/>
    <s v="Cameron"/>
    <x v="17"/>
  </r>
  <r>
    <s v="REG100018"/>
    <x v="18"/>
    <x v="0"/>
    <x v="1"/>
    <n v="20"/>
    <n v="519.04"/>
    <s v="Store B"/>
    <x v="1"/>
    <n v="0.15"/>
    <x v="3"/>
    <x v="1"/>
    <x v="0"/>
    <s v="Cust 1228"/>
    <n v="19.43"/>
    <x v="18"/>
    <d v="2023-12-08T00:00:00"/>
    <s v="Eric"/>
    <x v="18"/>
  </r>
  <r>
    <s v="REG100019"/>
    <x v="19"/>
    <x v="4"/>
    <x v="2"/>
    <n v="14"/>
    <n v="30.83"/>
    <s v="Store B"/>
    <x v="1"/>
    <n v="0"/>
    <x v="3"/>
    <x v="0"/>
    <x v="1"/>
    <s v="Cust 4247"/>
    <n v="7.1"/>
    <x v="19"/>
    <d v="2023-07-02T00:00:00"/>
    <s v="Wendy"/>
    <x v="19"/>
  </r>
  <r>
    <s v="REG100020"/>
    <x v="20"/>
    <x v="4"/>
    <x v="1"/>
    <n v="10"/>
    <n v="319.05"/>
    <s v="Store D"/>
    <x v="0"/>
    <n v="0"/>
    <x v="4"/>
    <x v="0"/>
    <x v="0"/>
    <s v="Cust 4199"/>
    <n v="28.43"/>
    <x v="20"/>
    <d v="2025-06-08T00:00:00"/>
    <s v="Wendy"/>
    <x v="20"/>
  </r>
  <r>
    <s v="REG100021"/>
    <x v="21"/>
    <x v="3"/>
    <x v="3"/>
    <n v="14"/>
    <n v="312.79000000000002"/>
    <s v="Store A"/>
    <x v="1"/>
    <n v="0.05"/>
    <x v="5"/>
    <x v="0"/>
    <x v="1"/>
    <s v="Cust 4186"/>
    <n v="46.83"/>
    <x v="21"/>
    <d v="2023-03-08T00:00:00"/>
    <s v="Cameron"/>
    <x v="21"/>
  </r>
  <r>
    <s v="REG100022"/>
    <x v="22"/>
    <x v="2"/>
    <x v="0"/>
    <n v="14"/>
    <n v="395.45"/>
    <s v="Store C"/>
    <x v="1"/>
    <n v="0"/>
    <x v="3"/>
    <x v="4"/>
    <x v="1"/>
    <s v="Cust 8137"/>
    <n v="36.450000000000003"/>
    <x v="22"/>
    <d v="2024-02-22T00:00:00"/>
    <s v="Ryan"/>
    <x v="22"/>
  </r>
  <r>
    <s v="REG100023"/>
    <x v="23"/>
    <x v="3"/>
    <x v="0"/>
    <n v="12"/>
    <n v="472.72"/>
    <s v="Store D"/>
    <x v="1"/>
    <n v="0.15"/>
    <x v="4"/>
    <x v="2"/>
    <x v="0"/>
    <s v="Cust 4638"/>
    <n v="27.97"/>
    <x v="23"/>
    <d v="2023-08-14T00:00:00"/>
    <s v="Cameron"/>
    <x v="23"/>
  </r>
  <r>
    <s v="REG100024"/>
    <x v="24"/>
    <x v="2"/>
    <x v="2"/>
    <n v="5"/>
    <n v="288.01"/>
    <s v="Store A"/>
    <x v="0"/>
    <n v="0"/>
    <x v="0"/>
    <x v="2"/>
    <x v="0"/>
    <s v="Cust 8538"/>
    <n v="46.69"/>
    <x v="24"/>
    <d v="2024-05-30T00:00:00"/>
    <s v="Ryan"/>
    <x v="24"/>
  </r>
  <r>
    <s v="REG100025"/>
    <x v="25"/>
    <x v="0"/>
    <x v="1"/>
    <n v="13"/>
    <n v="562.29"/>
    <s v="Store D"/>
    <x v="1"/>
    <n v="0"/>
    <x v="4"/>
    <x v="1"/>
    <x v="0"/>
    <s v="Cust 6322"/>
    <n v="38.130000000000003"/>
    <x v="25"/>
    <d v="2023-10-28T00:00:00"/>
    <s v="Eric"/>
    <x v="25"/>
  </r>
  <r>
    <s v="REG100026"/>
    <x v="26"/>
    <x v="4"/>
    <x v="1"/>
    <n v="1"/>
    <n v="101.73"/>
    <s v="Store D"/>
    <x v="1"/>
    <n v="0"/>
    <x v="2"/>
    <x v="3"/>
    <x v="0"/>
    <s v="Cust 2609"/>
    <n v="11.59"/>
    <x v="26"/>
    <d v="2025-06-25T00:00:00"/>
    <s v="Wendy"/>
    <x v="26"/>
  </r>
  <r>
    <s v="REG100027"/>
    <x v="21"/>
    <x v="2"/>
    <x v="1"/>
    <n v="4"/>
    <n v="279.49"/>
    <s v="Store B"/>
    <x v="1"/>
    <n v="0"/>
    <x v="4"/>
    <x v="2"/>
    <x v="0"/>
    <s v="Cust 6880"/>
    <n v="24.78"/>
    <x v="21"/>
    <d v="2023-03-08T00:00:00"/>
    <s v="Ryan"/>
    <x v="27"/>
  </r>
  <r>
    <s v="REG100028"/>
    <x v="27"/>
    <x v="1"/>
    <x v="0"/>
    <n v="1"/>
    <n v="178.55"/>
    <s v="Store A"/>
    <x v="1"/>
    <n v="0.15"/>
    <x v="3"/>
    <x v="3"/>
    <x v="1"/>
    <s v="Cust 1997"/>
    <n v="7.61"/>
    <x v="27"/>
    <d v="2024-11-21T00:00:00"/>
    <s v="Sophie"/>
    <x v="28"/>
  </r>
  <r>
    <s v="REG100029"/>
    <x v="28"/>
    <x v="3"/>
    <x v="5"/>
    <n v="1"/>
    <n v="472.07"/>
    <s v="Store A"/>
    <x v="0"/>
    <n v="0.1"/>
    <x v="3"/>
    <x v="0"/>
    <x v="0"/>
    <s v="Cust 7072"/>
    <n v="33.17"/>
    <x v="28"/>
    <d v="2023-05-17T00:00:00"/>
    <s v="Cameron"/>
    <x v="29"/>
  </r>
  <r>
    <s v="REG100030"/>
    <x v="29"/>
    <x v="2"/>
    <x v="5"/>
    <n v="12"/>
    <n v="306.29000000000002"/>
    <s v="Store D"/>
    <x v="1"/>
    <n v="0"/>
    <x v="2"/>
    <x v="3"/>
    <x v="0"/>
    <s v="Cust 7201"/>
    <n v="37.380000000000003"/>
    <x v="29"/>
    <d v="2024-12-14T00:00:00"/>
    <s v="Ryan"/>
    <x v="30"/>
  </r>
  <r>
    <s v="REG100031"/>
    <x v="30"/>
    <x v="2"/>
    <x v="1"/>
    <n v="7"/>
    <n v="434.77"/>
    <s v="Store C"/>
    <x v="1"/>
    <n v="0.15"/>
    <x v="2"/>
    <x v="0"/>
    <x v="0"/>
    <s v="Cust 9923"/>
    <n v="12.35"/>
    <x v="30"/>
    <d v="2024-02-15T00:00:00"/>
    <s v="Ryan"/>
    <x v="31"/>
  </r>
  <r>
    <s v="REG100032"/>
    <x v="31"/>
    <x v="1"/>
    <x v="2"/>
    <n v="6"/>
    <n v="64.98"/>
    <s v="Store C"/>
    <x v="1"/>
    <n v="0"/>
    <x v="3"/>
    <x v="3"/>
    <x v="0"/>
    <s v="Cust 2205"/>
    <n v="21.25"/>
    <x v="31"/>
    <d v="2025-03-15T00:00:00"/>
    <s v="Sophie"/>
    <x v="32"/>
  </r>
  <r>
    <s v="REG100033"/>
    <x v="32"/>
    <x v="3"/>
    <x v="2"/>
    <n v="17"/>
    <n v="476.49"/>
    <s v="Store D"/>
    <x v="1"/>
    <n v="0"/>
    <x v="1"/>
    <x v="1"/>
    <x v="0"/>
    <s v="Cust 6403"/>
    <n v="17.91"/>
    <x v="32"/>
    <d v="2023-04-11T00:00:00"/>
    <s v="Cameron"/>
    <x v="33"/>
  </r>
  <r>
    <s v="REG100034"/>
    <x v="33"/>
    <x v="2"/>
    <x v="4"/>
    <n v="4"/>
    <n v="559.72"/>
    <s v="Store D"/>
    <x v="1"/>
    <n v="0.15"/>
    <x v="4"/>
    <x v="0"/>
    <x v="0"/>
    <s v="Cust 3953"/>
    <n v="41.91"/>
    <x v="33"/>
    <d v="2025-05-12T00:00:00"/>
    <s v="Ryan"/>
    <x v="34"/>
  </r>
  <r>
    <s v="REG100035"/>
    <x v="34"/>
    <x v="2"/>
    <x v="5"/>
    <n v="14"/>
    <n v="82.14"/>
    <s v="Store C"/>
    <x v="1"/>
    <n v="0"/>
    <x v="1"/>
    <x v="2"/>
    <x v="0"/>
    <s v="Cust 7902"/>
    <n v="12.57"/>
    <x v="34"/>
    <d v="2023-09-11T00:00:00"/>
    <s v="Ryan"/>
    <x v="35"/>
  </r>
  <r>
    <s v="REG100036"/>
    <x v="35"/>
    <x v="3"/>
    <x v="3"/>
    <n v="9"/>
    <n v="343.21"/>
    <s v="Store A"/>
    <x v="1"/>
    <n v="0.05"/>
    <x v="3"/>
    <x v="3"/>
    <x v="0"/>
    <s v="Cust 9968"/>
    <n v="40.29"/>
    <x v="35"/>
    <d v="2025-03-28T00:00:00"/>
    <s v="Cameron"/>
    <x v="36"/>
  </r>
  <r>
    <s v="REG100037"/>
    <x v="36"/>
    <x v="1"/>
    <x v="3"/>
    <n v="7"/>
    <n v="301.01"/>
    <s v="Store B"/>
    <x v="1"/>
    <n v="0.15"/>
    <x v="4"/>
    <x v="4"/>
    <x v="1"/>
    <s v="Cust 3787"/>
    <n v="34.97"/>
    <x v="36"/>
    <d v="2025-06-30T00:00:00"/>
    <s v="Sophie"/>
    <x v="37"/>
  </r>
  <r>
    <s v="REG100038"/>
    <x v="37"/>
    <x v="3"/>
    <x v="6"/>
    <n v="14"/>
    <n v="428.13"/>
    <s v="Store C"/>
    <x v="1"/>
    <n v="0.1"/>
    <x v="5"/>
    <x v="4"/>
    <x v="1"/>
    <s v="Cust 2469"/>
    <n v="24.77"/>
    <x v="37"/>
    <d v="2024-02-25T00:00:00"/>
    <s v="Cameron"/>
    <x v="38"/>
  </r>
  <r>
    <s v="REG100039"/>
    <x v="38"/>
    <x v="3"/>
    <x v="0"/>
    <n v="2"/>
    <n v="503.28"/>
    <s v="Store D"/>
    <x v="1"/>
    <n v="0.15"/>
    <x v="1"/>
    <x v="1"/>
    <x v="0"/>
    <s v="Cust 6468"/>
    <n v="34.79"/>
    <x v="38"/>
    <d v="2023-06-17T00:00:00"/>
    <s v="Cameron"/>
    <x v="39"/>
  </r>
  <r>
    <s v="REG100040"/>
    <x v="39"/>
    <x v="1"/>
    <x v="6"/>
    <n v="5"/>
    <n v="470.32"/>
    <s v="Store A"/>
    <x v="1"/>
    <n v="0.1"/>
    <x v="0"/>
    <x v="3"/>
    <x v="0"/>
    <s v="Cust 5312"/>
    <n v="17.77"/>
    <x v="39"/>
    <d v="2023-08-14T00:00:00"/>
    <s v="Sophie"/>
    <x v="40"/>
  </r>
  <r>
    <s v="REG100041"/>
    <x v="40"/>
    <x v="3"/>
    <x v="6"/>
    <n v="20"/>
    <n v="65.17"/>
    <s v="Store C"/>
    <x v="0"/>
    <n v="0.05"/>
    <x v="0"/>
    <x v="1"/>
    <x v="0"/>
    <s v="Cust 1482"/>
    <n v="21.72"/>
    <x v="40"/>
    <d v="2024-06-25T00:00:00"/>
    <s v="Cameron"/>
    <x v="41"/>
  </r>
  <r>
    <s v="REG100042"/>
    <x v="41"/>
    <x v="1"/>
    <x v="0"/>
    <n v="12"/>
    <n v="36.17"/>
    <s v="Store A"/>
    <x v="1"/>
    <n v="0"/>
    <x v="0"/>
    <x v="0"/>
    <x v="0"/>
    <s v="Cust 7903"/>
    <n v="34.85"/>
    <x v="41"/>
    <d v="2023-07-26T00:00:00"/>
    <s v="Sophie"/>
    <x v="42"/>
  </r>
  <r>
    <s v="REG100043"/>
    <x v="42"/>
    <x v="3"/>
    <x v="6"/>
    <n v="4"/>
    <n v="459.31"/>
    <s v="Store D"/>
    <x v="0"/>
    <n v="0.15"/>
    <x v="3"/>
    <x v="1"/>
    <x v="1"/>
    <s v="Cust 9605"/>
    <n v="27.39"/>
    <x v="42"/>
    <d v="2023-05-27T00:00:00"/>
    <s v="Cameron"/>
    <x v="43"/>
  </r>
  <r>
    <s v="REG100044"/>
    <x v="43"/>
    <x v="1"/>
    <x v="0"/>
    <n v="2"/>
    <n v="416.06"/>
    <s v="Store D"/>
    <x v="1"/>
    <n v="0.05"/>
    <x v="0"/>
    <x v="3"/>
    <x v="0"/>
    <s v="Cust 3298"/>
    <n v="11.62"/>
    <x v="43"/>
    <d v="2023-07-04T00:00:00"/>
    <s v="Sophie"/>
    <x v="44"/>
  </r>
  <r>
    <s v="REG100045"/>
    <x v="44"/>
    <x v="1"/>
    <x v="5"/>
    <n v="16"/>
    <n v="302.58"/>
    <s v="Store D"/>
    <x v="1"/>
    <n v="0"/>
    <x v="1"/>
    <x v="0"/>
    <x v="1"/>
    <s v="Cust 5533"/>
    <n v="20.76"/>
    <x v="44"/>
    <d v="2024-06-14T00:00:00"/>
    <s v="Sophie"/>
    <x v="45"/>
  </r>
  <r>
    <s v="REG100046"/>
    <x v="45"/>
    <x v="4"/>
    <x v="3"/>
    <n v="11"/>
    <n v="33.130000000000003"/>
    <s v="Store A"/>
    <x v="1"/>
    <n v="0.15"/>
    <x v="2"/>
    <x v="0"/>
    <x v="0"/>
    <s v="Cust 6362"/>
    <n v="24.95"/>
    <x v="45"/>
    <d v="2025-02-05T00:00:00"/>
    <s v="Wendy"/>
    <x v="46"/>
  </r>
  <r>
    <s v="REG100047"/>
    <x v="46"/>
    <x v="0"/>
    <x v="5"/>
    <n v="8"/>
    <n v="582.52"/>
    <s v="Store D"/>
    <x v="1"/>
    <n v="0.15"/>
    <x v="2"/>
    <x v="1"/>
    <x v="0"/>
    <s v="Cust 4826"/>
    <n v="6.47"/>
    <x v="46"/>
    <d v="2024-01-13T00:00:00"/>
    <s v="Eric"/>
    <x v="47"/>
  </r>
  <r>
    <s v="REG100048"/>
    <x v="47"/>
    <x v="2"/>
    <x v="2"/>
    <n v="5"/>
    <n v="165.15"/>
    <s v="Store A"/>
    <x v="1"/>
    <n v="0.1"/>
    <x v="0"/>
    <x v="1"/>
    <x v="0"/>
    <s v="Cust 2171"/>
    <n v="20.57"/>
    <x v="47"/>
    <d v="2024-03-16T00:00:00"/>
    <s v="Ryan"/>
    <x v="48"/>
  </r>
  <r>
    <s v="REG100049"/>
    <x v="48"/>
    <x v="4"/>
    <x v="4"/>
    <n v="14"/>
    <n v="242.82"/>
    <s v="Store D"/>
    <x v="0"/>
    <n v="0.15"/>
    <x v="1"/>
    <x v="4"/>
    <x v="1"/>
    <s v="Cust 4005"/>
    <n v="20.71"/>
    <x v="48"/>
    <d v="2024-09-13T00:00:00"/>
    <s v="Wendy"/>
    <x v="49"/>
  </r>
  <r>
    <s v="REG100050"/>
    <x v="49"/>
    <x v="0"/>
    <x v="4"/>
    <n v="13"/>
    <n v="65.989999999999995"/>
    <s v="Store A"/>
    <x v="0"/>
    <n v="0.1"/>
    <x v="2"/>
    <x v="4"/>
    <x v="0"/>
    <s v="Cust 7032"/>
    <n v="12.87"/>
    <x v="49"/>
    <d v="2023-03-20T00:00:00"/>
    <s v="Eric"/>
    <x v="50"/>
  </r>
  <r>
    <s v="REG100051"/>
    <x v="50"/>
    <x v="4"/>
    <x v="3"/>
    <n v="2"/>
    <n v="251.69"/>
    <s v="Store C"/>
    <x v="0"/>
    <n v="0"/>
    <x v="1"/>
    <x v="3"/>
    <x v="0"/>
    <s v="Cust 7167"/>
    <n v="42.49"/>
    <x v="50"/>
    <d v="2025-01-24T00:00:00"/>
    <s v="Wendy"/>
    <x v="51"/>
  </r>
  <r>
    <s v="REG100052"/>
    <x v="51"/>
    <x v="1"/>
    <x v="0"/>
    <n v="1"/>
    <n v="269.41000000000003"/>
    <s v="Store B"/>
    <x v="0"/>
    <n v="0.1"/>
    <x v="0"/>
    <x v="4"/>
    <x v="1"/>
    <s v="Cust 5702"/>
    <n v="19.22"/>
    <x v="51"/>
    <d v="2024-09-18T00:00:00"/>
    <s v="Sophie"/>
    <x v="52"/>
  </r>
  <r>
    <s v="REG100053"/>
    <x v="52"/>
    <x v="1"/>
    <x v="4"/>
    <n v="2"/>
    <n v="371.3"/>
    <s v="Store B"/>
    <x v="0"/>
    <n v="0.05"/>
    <x v="5"/>
    <x v="2"/>
    <x v="0"/>
    <s v="Cust 4944"/>
    <n v="36.51"/>
    <x v="52"/>
    <d v="2024-01-15T00:00:00"/>
    <s v="Sophie"/>
    <x v="53"/>
  </r>
  <r>
    <s v="REG100054"/>
    <x v="53"/>
    <x v="4"/>
    <x v="5"/>
    <n v="11"/>
    <n v="288.24"/>
    <s v="Store A"/>
    <x v="0"/>
    <n v="0.15"/>
    <x v="4"/>
    <x v="0"/>
    <x v="0"/>
    <s v="Cust 8149"/>
    <n v="37.39"/>
    <x v="53"/>
    <d v="2024-04-25T00:00:00"/>
    <s v="Wendy"/>
    <x v="54"/>
  </r>
  <r>
    <s v="REG100055"/>
    <x v="54"/>
    <x v="3"/>
    <x v="5"/>
    <n v="11"/>
    <n v="232.75"/>
    <s v="Store D"/>
    <x v="0"/>
    <n v="0.05"/>
    <x v="0"/>
    <x v="2"/>
    <x v="0"/>
    <s v="Cust 3638"/>
    <n v="36.33"/>
    <x v="54"/>
    <d v="2025-06-21T00:00:00"/>
    <s v="Cameron"/>
    <x v="55"/>
  </r>
  <r>
    <s v="REG100056"/>
    <x v="55"/>
    <x v="0"/>
    <x v="1"/>
    <n v="17"/>
    <n v="146.28"/>
    <s v="Store B"/>
    <x v="1"/>
    <n v="0.15"/>
    <x v="3"/>
    <x v="4"/>
    <x v="0"/>
    <s v="Cust 9973"/>
    <n v="7.84"/>
    <x v="55"/>
    <d v="2025-03-15T00:00:00"/>
    <s v="Eric"/>
    <x v="56"/>
  </r>
  <r>
    <s v="REG100057"/>
    <x v="56"/>
    <x v="0"/>
    <x v="3"/>
    <n v="5"/>
    <n v="100.38"/>
    <s v="Store C"/>
    <x v="1"/>
    <n v="0.1"/>
    <x v="0"/>
    <x v="1"/>
    <x v="1"/>
    <s v="Cust 4214"/>
    <n v="18.350000000000001"/>
    <x v="56"/>
    <d v="2023-05-26T00:00:00"/>
    <s v="Eric"/>
    <x v="57"/>
  </r>
  <r>
    <s v="REG100058"/>
    <x v="57"/>
    <x v="1"/>
    <x v="1"/>
    <n v="11"/>
    <n v="375.48"/>
    <s v="Store B"/>
    <x v="1"/>
    <n v="0.05"/>
    <x v="5"/>
    <x v="3"/>
    <x v="0"/>
    <s v="Cust 2647"/>
    <n v="15.95"/>
    <x v="57"/>
    <d v="2023-02-03T00:00:00"/>
    <s v="Sophie"/>
    <x v="58"/>
  </r>
  <r>
    <s v="REG100059"/>
    <x v="58"/>
    <x v="1"/>
    <x v="0"/>
    <n v="18"/>
    <n v="316.89"/>
    <s v="Store B"/>
    <x v="0"/>
    <n v="0.05"/>
    <x v="5"/>
    <x v="4"/>
    <x v="0"/>
    <s v="Cust 3552"/>
    <n v="15.69"/>
    <x v="58"/>
    <d v="2024-03-27T00:00:00"/>
    <s v="Sophie"/>
    <x v="59"/>
  </r>
  <r>
    <s v="REG100060"/>
    <x v="59"/>
    <x v="4"/>
    <x v="0"/>
    <n v="20"/>
    <n v="295.06"/>
    <s v="Store D"/>
    <x v="1"/>
    <n v="0.15"/>
    <x v="2"/>
    <x v="0"/>
    <x v="1"/>
    <s v="Cust 3354"/>
    <n v="13.66"/>
    <x v="59"/>
    <d v="2025-01-31T00:00:00"/>
    <s v="Wendy"/>
    <x v="60"/>
  </r>
  <r>
    <s v="REG100061"/>
    <x v="60"/>
    <x v="3"/>
    <x v="1"/>
    <n v="8"/>
    <n v="301.68"/>
    <s v="Store D"/>
    <x v="1"/>
    <n v="0"/>
    <x v="0"/>
    <x v="4"/>
    <x v="0"/>
    <s v="Cust 3903"/>
    <n v="36.54"/>
    <x v="60"/>
    <d v="2023-06-21T00:00:00"/>
    <s v="Cameron"/>
    <x v="61"/>
  </r>
  <r>
    <s v="REG100062"/>
    <x v="61"/>
    <x v="3"/>
    <x v="3"/>
    <n v="3"/>
    <n v="475.39"/>
    <s v="Store B"/>
    <x v="1"/>
    <n v="0.1"/>
    <x v="1"/>
    <x v="1"/>
    <x v="0"/>
    <s v="Cust 5358"/>
    <n v="15.62"/>
    <x v="61"/>
    <d v="2025-03-26T00:00:00"/>
    <s v="Cameron"/>
    <x v="62"/>
  </r>
  <r>
    <s v="REG100063"/>
    <x v="62"/>
    <x v="3"/>
    <x v="2"/>
    <n v="16"/>
    <n v="47.25"/>
    <s v="Store D"/>
    <x v="1"/>
    <n v="0.15"/>
    <x v="5"/>
    <x v="3"/>
    <x v="0"/>
    <s v="Cust 8144"/>
    <n v="29.5"/>
    <x v="62"/>
    <d v="2024-02-27T00:00:00"/>
    <s v="Cameron"/>
    <x v="63"/>
  </r>
  <r>
    <s v="REG100064"/>
    <x v="63"/>
    <x v="1"/>
    <x v="3"/>
    <n v="15"/>
    <n v="511.17"/>
    <s v="Store B"/>
    <x v="0"/>
    <n v="0"/>
    <x v="2"/>
    <x v="0"/>
    <x v="0"/>
    <s v="Cust 6747"/>
    <n v="21.77"/>
    <x v="63"/>
    <d v="2023-12-12T00:00:00"/>
    <s v="Sophie"/>
    <x v="64"/>
  </r>
  <r>
    <s v="REG100065"/>
    <x v="64"/>
    <x v="3"/>
    <x v="4"/>
    <n v="3"/>
    <n v="66.58"/>
    <s v="Store B"/>
    <x v="1"/>
    <n v="0.1"/>
    <x v="2"/>
    <x v="3"/>
    <x v="0"/>
    <s v="Cust 8330"/>
    <n v="22.43"/>
    <x v="64"/>
    <d v="2023-10-05T00:00:00"/>
    <s v="Cameron"/>
    <x v="65"/>
  </r>
  <r>
    <s v="REG100066"/>
    <x v="65"/>
    <x v="4"/>
    <x v="5"/>
    <n v="5"/>
    <n v="490.52"/>
    <s v="Store D"/>
    <x v="0"/>
    <n v="0.05"/>
    <x v="2"/>
    <x v="0"/>
    <x v="0"/>
    <s v="Cust 7186"/>
    <n v="12.24"/>
    <x v="65"/>
    <d v="2023-08-07T00:00:00"/>
    <s v="Wendy"/>
    <x v="66"/>
  </r>
  <r>
    <s v="REG100067"/>
    <x v="66"/>
    <x v="1"/>
    <x v="3"/>
    <n v="8"/>
    <n v="405.96"/>
    <s v="Store A"/>
    <x v="0"/>
    <n v="0.05"/>
    <x v="3"/>
    <x v="2"/>
    <x v="0"/>
    <s v="Cust 8287"/>
    <n v="41.27"/>
    <x v="66"/>
    <d v="2024-12-31T00:00:00"/>
    <s v="Sophie"/>
    <x v="67"/>
  </r>
  <r>
    <s v="REG100068"/>
    <x v="67"/>
    <x v="2"/>
    <x v="1"/>
    <n v="1"/>
    <n v="159.41"/>
    <s v="Store B"/>
    <x v="1"/>
    <n v="0.1"/>
    <x v="5"/>
    <x v="2"/>
    <x v="0"/>
    <s v="Cust 3986"/>
    <n v="35.14"/>
    <x v="67"/>
    <d v="2024-11-19T00:00:00"/>
    <s v="Ryan"/>
    <x v="68"/>
  </r>
  <r>
    <s v="REG100069"/>
    <x v="68"/>
    <x v="4"/>
    <x v="4"/>
    <n v="16"/>
    <n v="38.49"/>
    <s v="Store C"/>
    <x v="1"/>
    <n v="0.15"/>
    <x v="3"/>
    <x v="3"/>
    <x v="0"/>
    <s v="Cust 3213"/>
    <n v="8.3800000000000008"/>
    <x v="68"/>
    <d v="2025-03-22T00:00:00"/>
    <s v="Wendy"/>
    <x v="69"/>
  </r>
  <r>
    <s v="REG100070"/>
    <x v="69"/>
    <x v="0"/>
    <x v="5"/>
    <n v="15"/>
    <n v="328.36"/>
    <s v="Store D"/>
    <x v="1"/>
    <n v="0.15"/>
    <x v="1"/>
    <x v="1"/>
    <x v="0"/>
    <s v="Cust 1907"/>
    <n v="15.76"/>
    <x v="69"/>
    <d v="2024-03-12T00:00:00"/>
    <s v="Eric"/>
    <x v="70"/>
  </r>
  <r>
    <s v="REG100071"/>
    <x v="70"/>
    <x v="3"/>
    <x v="5"/>
    <n v="20"/>
    <n v="548.01"/>
    <s v="Store A"/>
    <x v="0"/>
    <n v="0.1"/>
    <x v="0"/>
    <x v="2"/>
    <x v="1"/>
    <s v="Cust 4639"/>
    <n v="5.89"/>
    <x v="70"/>
    <d v="2023-02-14T00:00:00"/>
    <s v="Cameron"/>
    <x v="71"/>
  </r>
  <r>
    <s v="REG100072"/>
    <x v="71"/>
    <x v="1"/>
    <x v="2"/>
    <n v="13"/>
    <n v="484.45"/>
    <s v="Store B"/>
    <x v="0"/>
    <n v="0.05"/>
    <x v="3"/>
    <x v="1"/>
    <x v="1"/>
    <s v="Cust 4153"/>
    <n v="6.57"/>
    <x v="71"/>
    <d v="2023-11-05T00:00:00"/>
    <s v="Sophie"/>
    <x v="72"/>
  </r>
  <r>
    <s v="REG100073"/>
    <x v="72"/>
    <x v="1"/>
    <x v="4"/>
    <n v="13"/>
    <n v="195.84"/>
    <s v="Store A"/>
    <x v="0"/>
    <n v="0.05"/>
    <x v="1"/>
    <x v="2"/>
    <x v="0"/>
    <s v="Cust 7096"/>
    <n v="33.520000000000003"/>
    <x v="72"/>
    <d v="2023-10-28T00:00:00"/>
    <s v="Sophie"/>
    <x v="73"/>
  </r>
  <r>
    <s v="REG100074"/>
    <x v="73"/>
    <x v="3"/>
    <x v="5"/>
    <n v="19"/>
    <n v="29.94"/>
    <s v="Store D"/>
    <x v="1"/>
    <n v="0.15"/>
    <x v="4"/>
    <x v="3"/>
    <x v="0"/>
    <s v="Cust 3806"/>
    <n v="33.590000000000003"/>
    <x v="73"/>
    <d v="2024-01-20T00:00:00"/>
    <s v="Cameron"/>
    <x v="74"/>
  </r>
  <r>
    <s v="REG100075"/>
    <x v="74"/>
    <x v="3"/>
    <x v="2"/>
    <n v="10"/>
    <n v="553.91"/>
    <s v="Store D"/>
    <x v="0"/>
    <n v="0.1"/>
    <x v="0"/>
    <x v="0"/>
    <x v="0"/>
    <s v="Cust 9345"/>
    <n v="31.3"/>
    <x v="74"/>
    <d v="2023-07-31T00:00:00"/>
    <s v="Cameron"/>
    <x v="75"/>
  </r>
  <r>
    <s v="REG100076"/>
    <x v="75"/>
    <x v="1"/>
    <x v="1"/>
    <n v="14"/>
    <n v="445.52"/>
    <s v="Store B"/>
    <x v="1"/>
    <n v="0.1"/>
    <x v="5"/>
    <x v="0"/>
    <x v="0"/>
    <s v="Cust 4456"/>
    <n v="14.41"/>
    <x v="75"/>
    <d v="2024-10-25T00:00:00"/>
    <s v="Sophie"/>
    <x v="76"/>
  </r>
  <r>
    <s v="REG100077"/>
    <x v="76"/>
    <x v="1"/>
    <x v="3"/>
    <n v="5"/>
    <n v="551.58000000000004"/>
    <s v="Store B"/>
    <x v="1"/>
    <n v="0.15"/>
    <x v="1"/>
    <x v="0"/>
    <x v="1"/>
    <s v="Cust 1089"/>
    <n v="7.87"/>
    <x v="76"/>
    <d v="2023-10-01T00:00:00"/>
    <s v="Sophie"/>
    <x v="77"/>
  </r>
  <r>
    <s v="REG100078"/>
    <x v="77"/>
    <x v="0"/>
    <x v="1"/>
    <n v="13"/>
    <n v="241.4"/>
    <s v="Store D"/>
    <x v="1"/>
    <n v="0"/>
    <x v="3"/>
    <x v="1"/>
    <x v="0"/>
    <s v="Cust 7230"/>
    <n v="49.05"/>
    <x v="77"/>
    <d v="2023-12-20T00:00:00"/>
    <s v="Eric"/>
    <x v="78"/>
  </r>
  <r>
    <s v="REG100079"/>
    <x v="78"/>
    <x v="3"/>
    <x v="6"/>
    <n v="19"/>
    <n v="351.93"/>
    <s v="Store A"/>
    <x v="0"/>
    <n v="0"/>
    <x v="1"/>
    <x v="2"/>
    <x v="0"/>
    <s v="Cust 6597"/>
    <n v="39.979999999999997"/>
    <x v="78"/>
    <d v="2024-01-05T00:00:00"/>
    <s v="Cameron"/>
    <x v="79"/>
  </r>
  <r>
    <s v="REG100080"/>
    <x v="79"/>
    <x v="2"/>
    <x v="1"/>
    <n v="4"/>
    <n v="83.75"/>
    <s v="Store A"/>
    <x v="1"/>
    <n v="0.05"/>
    <x v="1"/>
    <x v="3"/>
    <x v="1"/>
    <s v="Cust 4108"/>
    <n v="38.82"/>
    <x v="79"/>
    <d v="2024-02-25T00:00:00"/>
    <s v="Ryan"/>
    <x v="80"/>
  </r>
  <r>
    <s v="REG100081"/>
    <x v="80"/>
    <x v="0"/>
    <x v="4"/>
    <n v="5"/>
    <n v="416.95"/>
    <s v="Store A"/>
    <x v="0"/>
    <n v="0.15"/>
    <x v="2"/>
    <x v="0"/>
    <x v="1"/>
    <s v="Cust 2883"/>
    <n v="24.03"/>
    <x v="80"/>
    <d v="2024-05-12T00:00:00"/>
    <s v="Eric"/>
    <x v="81"/>
  </r>
  <r>
    <s v="REG100082"/>
    <x v="81"/>
    <x v="4"/>
    <x v="4"/>
    <n v="18"/>
    <n v="142.43"/>
    <s v="Store C"/>
    <x v="1"/>
    <n v="0.05"/>
    <x v="5"/>
    <x v="2"/>
    <x v="1"/>
    <s v="Cust 5018"/>
    <n v="12.38"/>
    <x v="81"/>
    <d v="2023-06-02T00:00:00"/>
    <s v="Wendy"/>
    <x v="82"/>
  </r>
  <r>
    <s v="REG100083"/>
    <x v="82"/>
    <x v="0"/>
    <x v="2"/>
    <n v="12"/>
    <n v="582.52"/>
    <s v="Store A"/>
    <x v="0"/>
    <n v="0"/>
    <x v="5"/>
    <x v="2"/>
    <x v="0"/>
    <s v="Cust 1231"/>
    <n v="41.16"/>
    <x v="82"/>
    <d v="2023-01-11T00:00:00"/>
    <s v="Eric"/>
    <x v="83"/>
  </r>
  <r>
    <s v="REG100084"/>
    <x v="83"/>
    <x v="0"/>
    <x v="3"/>
    <n v="20"/>
    <n v="129.56"/>
    <s v="Store A"/>
    <x v="1"/>
    <n v="0.15"/>
    <x v="4"/>
    <x v="0"/>
    <x v="0"/>
    <s v="Cust 2209"/>
    <n v="40.21"/>
    <x v="83"/>
    <d v="2025-05-23T00:00:00"/>
    <s v="Eric"/>
    <x v="84"/>
  </r>
  <r>
    <s v="REG100085"/>
    <x v="12"/>
    <x v="3"/>
    <x v="5"/>
    <n v="17"/>
    <n v="431.82"/>
    <s v="Store B"/>
    <x v="1"/>
    <n v="0"/>
    <x v="0"/>
    <x v="1"/>
    <x v="1"/>
    <s v="Cust 6684"/>
    <n v="37.75"/>
    <x v="12"/>
    <d v="2023-07-25T00:00:00"/>
    <s v="Cameron"/>
    <x v="85"/>
  </r>
  <r>
    <s v="REG100086"/>
    <x v="84"/>
    <x v="0"/>
    <x v="0"/>
    <n v="15"/>
    <n v="15.85"/>
    <s v="Store C"/>
    <x v="1"/>
    <n v="0"/>
    <x v="5"/>
    <x v="3"/>
    <x v="0"/>
    <s v="Cust 5289"/>
    <n v="23.49"/>
    <x v="84"/>
    <d v="2025-06-03T00:00:00"/>
    <s v="Eric"/>
    <x v="86"/>
  </r>
  <r>
    <s v="REG100087"/>
    <x v="85"/>
    <x v="1"/>
    <x v="5"/>
    <n v="20"/>
    <n v="548.34"/>
    <s v="Store B"/>
    <x v="1"/>
    <n v="0.1"/>
    <x v="5"/>
    <x v="1"/>
    <x v="0"/>
    <s v="Cust 9159"/>
    <n v="33.47"/>
    <x v="85"/>
    <d v="2024-11-22T00:00:00"/>
    <s v="Sophie"/>
    <x v="87"/>
  </r>
  <r>
    <s v="REG100088"/>
    <x v="86"/>
    <x v="2"/>
    <x v="0"/>
    <n v="16"/>
    <n v="525.83000000000004"/>
    <s v="Store C"/>
    <x v="0"/>
    <n v="0.05"/>
    <x v="2"/>
    <x v="0"/>
    <x v="0"/>
    <s v="Cust 4844"/>
    <n v="36.47"/>
    <x v="86"/>
    <d v="2023-11-25T00:00:00"/>
    <s v="Ryan"/>
    <x v="88"/>
  </r>
  <r>
    <s v="REG100089"/>
    <x v="87"/>
    <x v="3"/>
    <x v="0"/>
    <n v="15"/>
    <n v="411.38"/>
    <s v="Store A"/>
    <x v="0"/>
    <n v="0.05"/>
    <x v="5"/>
    <x v="0"/>
    <x v="0"/>
    <s v="Cust 3273"/>
    <n v="48.51"/>
    <x v="87"/>
    <d v="2025-01-21T00:00:00"/>
    <s v="Cameron"/>
    <x v="89"/>
  </r>
  <r>
    <s v="REG100090"/>
    <x v="88"/>
    <x v="2"/>
    <x v="4"/>
    <n v="19"/>
    <n v="559.95000000000005"/>
    <s v="Store A"/>
    <x v="0"/>
    <n v="0.1"/>
    <x v="3"/>
    <x v="2"/>
    <x v="0"/>
    <s v="Cust 8160"/>
    <n v="18.3"/>
    <x v="88"/>
    <d v="2023-04-03T00:00:00"/>
    <s v="Ryan"/>
    <x v="90"/>
  </r>
  <r>
    <s v="REG100091"/>
    <x v="89"/>
    <x v="2"/>
    <x v="2"/>
    <n v="8"/>
    <n v="179.9"/>
    <s v="Store C"/>
    <x v="1"/>
    <n v="0.05"/>
    <x v="3"/>
    <x v="0"/>
    <x v="0"/>
    <s v="Cust 4439"/>
    <n v="14.8"/>
    <x v="89"/>
    <d v="2025-03-05T00:00:00"/>
    <s v="Ryan"/>
    <x v="91"/>
  </r>
  <r>
    <s v="REG100092"/>
    <x v="90"/>
    <x v="2"/>
    <x v="3"/>
    <n v="12"/>
    <n v="494.15"/>
    <s v="Store B"/>
    <x v="0"/>
    <n v="0.15"/>
    <x v="4"/>
    <x v="0"/>
    <x v="1"/>
    <s v="Cust 1127"/>
    <n v="18.05"/>
    <x v="90"/>
    <d v="2023-10-20T00:00:00"/>
    <s v="Ryan"/>
    <x v="92"/>
  </r>
  <r>
    <s v="REG100093"/>
    <x v="91"/>
    <x v="0"/>
    <x v="2"/>
    <n v="10"/>
    <n v="462.99"/>
    <s v="Store C"/>
    <x v="0"/>
    <n v="0"/>
    <x v="5"/>
    <x v="2"/>
    <x v="0"/>
    <s v="Cust 4696"/>
    <n v="5.01"/>
    <x v="91"/>
    <d v="2025-04-15T00:00:00"/>
    <s v="Eric"/>
    <x v="93"/>
  </r>
  <r>
    <s v="REG100094"/>
    <x v="92"/>
    <x v="3"/>
    <x v="0"/>
    <n v="7"/>
    <n v="460.24"/>
    <s v="Store A"/>
    <x v="1"/>
    <n v="0.05"/>
    <x v="1"/>
    <x v="4"/>
    <x v="1"/>
    <s v="Cust 3014"/>
    <n v="11.54"/>
    <x v="92"/>
    <d v="2025-05-23T00:00:00"/>
    <s v="Cameron"/>
    <x v="94"/>
  </r>
  <r>
    <s v="REG100095"/>
    <x v="93"/>
    <x v="4"/>
    <x v="6"/>
    <n v="17"/>
    <n v="309.52"/>
    <s v="Store B"/>
    <x v="0"/>
    <n v="0.05"/>
    <x v="0"/>
    <x v="0"/>
    <x v="0"/>
    <s v="Cust 2539"/>
    <n v="6.11"/>
    <x v="93"/>
    <d v="2024-04-27T00:00:00"/>
    <s v="Wendy"/>
    <x v="95"/>
  </r>
  <r>
    <s v="REG100096"/>
    <x v="94"/>
    <x v="3"/>
    <x v="4"/>
    <n v="1"/>
    <n v="323.83"/>
    <s v="Store B"/>
    <x v="0"/>
    <n v="0.05"/>
    <x v="0"/>
    <x v="2"/>
    <x v="0"/>
    <s v="Cust 3916"/>
    <n v="27.48"/>
    <x v="94"/>
    <d v="2025-02-08T00:00:00"/>
    <s v="Cameron"/>
    <x v="96"/>
  </r>
  <r>
    <s v="REG100097"/>
    <x v="95"/>
    <x v="3"/>
    <x v="3"/>
    <n v="10"/>
    <n v="503.07"/>
    <s v="Store C"/>
    <x v="1"/>
    <n v="0"/>
    <x v="5"/>
    <x v="2"/>
    <x v="0"/>
    <s v="Cust 6329"/>
    <n v="44.61"/>
    <x v="95"/>
    <d v="2025-03-19T00:00:00"/>
    <s v="Cameron"/>
    <x v="97"/>
  </r>
  <r>
    <s v="REG100098"/>
    <x v="96"/>
    <x v="4"/>
    <x v="0"/>
    <n v="20"/>
    <n v="491.68"/>
    <s v="Store D"/>
    <x v="0"/>
    <n v="0.15"/>
    <x v="1"/>
    <x v="0"/>
    <x v="1"/>
    <s v="Cust 4384"/>
    <n v="43.46"/>
    <x v="96"/>
    <d v="2024-05-29T00:00:00"/>
    <s v="Wendy"/>
    <x v="98"/>
  </r>
  <r>
    <s v="REG100099"/>
    <x v="97"/>
    <x v="2"/>
    <x v="1"/>
    <n v="17"/>
    <n v="468.45"/>
    <s v="Store A"/>
    <x v="1"/>
    <n v="0.05"/>
    <x v="3"/>
    <x v="2"/>
    <x v="0"/>
    <s v="Cust 7756"/>
    <n v="17.88"/>
    <x v="97"/>
    <d v="2023-07-26T00:00:00"/>
    <s v="Ryan"/>
    <x v="99"/>
  </r>
  <r>
    <s v="REG100100"/>
    <x v="58"/>
    <x v="2"/>
    <x v="0"/>
    <n v="11"/>
    <n v="401.76"/>
    <s v="Store D"/>
    <x v="1"/>
    <n v="0.15"/>
    <x v="2"/>
    <x v="1"/>
    <x v="0"/>
    <s v="Cust 6086"/>
    <n v="48.03"/>
    <x v="58"/>
    <d v="2024-03-30T00:00:00"/>
    <s v="Ryan"/>
    <x v="100"/>
  </r>
  <r>
    <s v="REG100101"/>
    <x v="32"/>
    <x v="4"/>
    <x v="6"/>
    <n v="3"/>
    <n v="221"/>
    <s v="Store B"/>
    <x v="0"/>
    <n v="0"/>
    <x v="2"/>
    <x v="4"/>
    <x v="0"/>
    <s v="Cust 3845"/>
    <n v="32.31"/>
    <x v="32"/>
    <d v="2023-04-08T00:00:00"/>
    <s v="Wendy"/>
    <x v="101"/>
  </r>
  <r>
    <s v="REG100102"/>
    <x v="98"/>
    <x v="0"/>
    <x v="4"/>
    <n v="6"/>
    <n v="188.45"/>
    <s v="Store C"/>
    <x v="0"/>
    <n v="0.05"/>
    <x v="1"/>
    <x v="1"/>
    <x v="0"/>
    <s v="Cust 9996"/>
    <n v="6.77"/>
    <x v="98"/>
    <d v="2024-09-01T00:00:00"/>
    <s v="Eric"/>
    <x v="102"/>
  </r>
  <r>
    <s v="REG100103"/>
    <x v="99"/>
    <x v="2"/>
    <x v="2"/>
    <n v="3"/>
    <n v="566.20000000000005"/>
    <s v="Store D"/>
    <x v="1"/>
    <n v="0"/>
    <x v="5"/>
    <x v="1"/>
    <x v="1"/>
    <s v="Cust 1711"/>
    <n v="28.97"/>
    <x v="99"/>
    <d v="2024-07-17T00:00:00"/>
    <s v="Ryan"/>
    <x v="103"/>
  </r>
  <r>
    <s v="REG100104"/>
    <x v="100"/>
    <x v="0"/>
    <x v="4"/>
    <n v="14"/>
    <n v="167.09"/>
    <s v="Store D"/>
    <x v="1"/>
    <n v="0.05"/>
    <x v="1"/>
    <x v="1"/>
    <x v="1"/>
    <s v="Cust 4522"/>
    <n v="47.05"/>
    <x v="100"/>
    <d v="2023-10-08T00:00:00"/>
    <s v="Eric"/>
    <x v="104"/>
  </r>
  <r>
    <s v="REG100105"/>
    <x v="101"/>
    <x v="4"/>
    <x v="4"/>
    <n v="16"/>
    <n v="36.159999999999997"/>
    <s v="Store C"/>
    <x v="0"/>
    <n v="0.1"/>
    <x v="3"/>
    <x v="3"/>
    <x v="0"/>
    <s v="Cust 4233"/>
    <n v="26.64"/>
    <x v="101"/>
    <d v="2023-10-11T00:00:00"/>
    <s v="Wendy"/>
    <x v="105"/>
  </r>
  <r>
    <s v="REG100106"/>
    <x v="102"/>
    <x v="3"/>
    <x v="6"/>
    <n v="2"/>
    <n v="73.94"/>
    <s v="Store B"/>
    <x v="0"/>
    <n v="0.05"/>
    <x v="3"/>
    <x v="3"/>
    <x v="0"/>
    <s v="Cust 4121"/>
    <n v="28.05"/>
    <x v="102"/>
    <d v="2025-06-16T00:00:00"/>
    <s v="Cameron"/>
    <x v="106"/>
  </r>
  <r>
    <s v="REG100107"/>
    <x v="103"/>
    <x v="0"/>
    <x v="6"/>
    <n v="16"/>
    <n v="459.49"/>
    <s v="Store A"/>
    <x v="0"/>
    <n v="0.1"/>
    <x v="0"/>
    <x v="0"/>
    <x v="0"/>
    <s v="Cust 9092"/>
    <n v="26.99"/>
    <x v="103"/>
    <d v="2025-06-14T00:00:00"/>
    <s v="Eric"/>
    <x v="107"/>
  </r>
  <r>
    <s v="REG100108"/>
    <x v="104"/>
    <x v="0"/>
    <x v="3"/>
    <n v="3"/>
    <n v="168.05"/>
    <s v="Store A"/>
    <x v="1"/>
    <n v="0"/>
    <x v="3"/>
    <x v="4"/>
    <x v="1"/>
    <s v="Cust 9090"/>
    <n v="21.08"/>
    <x v="104"/>
    <d v="2024-07-06T00:00:00"/>
    <s v="Eric"/>
    <x v="108"/>
  </r>
  <r>
    <s v="REG100109"/>
    <x v="105"/>
    <x v="2"/>
    <x v="6"/>
    <n v="14"/>
    <n v="37.54"/>
    <s v="Store B"/>
    <x v="1"/>
    <n v="0.15"/>
    <x v="1"/>
    <x v="2"/>
    <x v="1"/>
    <s v="Cust 1983"/>
    <n v="49.6"/>
    <x v="105"/>
    <d v="2024-04-02T00:00:00"/>
    <s v="Ryan"/>
    <x v="109"/>
  </r>
  <r>
    <s v="REG100110"/>
    <x v="106"/>
    <x v="1"/>
    <x v="5"/>
    <n v="4"/>
    <n v="151.16"/>
    <s v="Store B"/>
    <x v="0"/>
    <n v="0"/>
    <x v="1"/>
    <x v="1"/>
    <x v="1"/>
    <s v="Cust 8834"/>
    <n v="41.4"/>
    <x v="106"/>
    <d v="2024-07-21T00:00:00"/>
    <s v="Sophie"/>
    <x v="110"/>
  </r>
  <r>
    <s v="REG100111"/>
    <x v="107"/>
    <x v="1"/>
    <x v="5"/>
    <n v="17"/>
    <n v="78.58"/>
    <s v="Store A"/>
    <x v="0"/>
    <n v="0.1"/>
    <x v="5"/>
    <x v="1"/>
    <x v="0"/>
    <s v="Cust 9780"/>
    <n v="8.02"/>
    <x v="107"/>
    <d v="2024-03-25T00:00:00"/>
    <s v="Sophie"/>
    <x v="111"/>
  </r>
  <r>
    <s v="REG100112"/>
    <x v="108"/>
    <x v="3"/>
    <x v="3"/>
    <n v="15"/>
    <n v="37.33"/>
    <s v="Store B"/>
    <x v="1"/>
    <n v="0.05"/>
    <x v="3"/>
    <x v="4"/>
    <x v="1"/>
    <s v="Cust 1293"/>
    <n v="43.69"/>
    <x v="108"/>
    <d v="2025-04-24T00:00:00"/>
    <s v="Cameron"/>
    <x v="112"/>
  </r>
  <r>
    <s v="REG100113"/>
    <x v="37"/>
    <x v="4"/>
    <x v="5"/>
    <n v="18"/>
    <n v="537.02"/>
    <s v="Store A"/>
    <x v="0"/>
    <n v="0.15"/>
    <x v="3"/>
    <x v="3"/>
    <x v="0"/>
    <s v="Cust 3173"/>
    <n v="23.94"/>
    <x v="37"/>
    <d v="2024-02-20T00:00:00"/>
    <s v="Wendy"/>
    <x v="113"/>
  </r>
  <r>
    <s v="REG100114"/>
    <x v="109"/>
    <x v="0"/>
    <x v="2"/>
    <n v="5"/>
    <n v="215.6"/>
    <s v="Store C"/>
    <x v="0"/>
    <n v="0"/>
    <x v="2"/>
    <x v="0"/>
    <x v="0"/>
    <s v="Cust 8641"/>
    <n v="28.36"/>
    <x v="109"/>
    <d v="2024-02-04T00:00:00"/>
    <s v="Eric"/>
    <x v="114"/>
  </r>
  <r>
    <s v="REG100115"/>
    <x v="110"/>
    <x v="3"/>
    <x v="0"/>
    <n v="18"/>
    <n v="209.5"/>
    <s v="Store D"/>
    <x v="0"/>
    <n v="0"/>
    <x v="3"/>
    <x v="2"/>
    <x v="0"/>
    <s v="Cust 7656"/>
    <n v="38.229999999999997"/>
    <x v="110"/>
    <d v="2025-04-23T00:00:00"/>
    <s v="Cameron"/>
    <x v="115"/>
  </r>
  <r>
    <s v="REG100116"/>
    <x v="110"/>
    <x v="3"/>
    <x v="3"/>
    <n v="8"/>
    <n v="348.98"/>
    <s v="Store A"/>
    <x v="1"/>
    <n v="0.1"/>
    <x v="2"/>
    <x v="0"/>
    <x v="0"/>
    <s v="Cust 5523"/>
    <n v="19.170000000000002"/>
    <x v="110"/>
    <d v="2025-04-20T00:00:00"/>
    <s v="Cameron"/>
    <x v="116"/>
  </r>
  <r>
    <s v="REG100117"/>
    <x v="111"/>
    <x v="4"/>
    <x v="6"/>
    <n v="2"/>
    <n v="289.14"/>
    <s v="Store C"/>
    <x v="1"/>
    <n v="0.05"/>
    <x v="4"/>
    <x v="0"/>
    <x v="0"/>
    <s v="Cust 2015"/>
    <n v="5.13"/>
    <x v="111"/>
    <d v="2024-08-13T00:00:00"/>
    <s v="Wendy"/>
    <x v="117"/>
  </r>
  <r>
    <s v="REG100118"/>
    <x v="112"/>
    <x v="1"/>
    <x v="2"/>
    <n v="5"/>
    <n v="396.93"/>
    <s v="Store B"/>
    <x v="0"/>
    <n v="0"/>
    <x v="4"/>
    <x v="2"/>
    <x v="0"/>
    <s v="Cust 6895"/>
    <n v="48.63"/>
    <x v="112"/>
    <d v="2023-12-08T00:00:00"/>
    <s v="Sophie"/>
    <x v="118"/>
  </r>
  <r>
    <s v="REG100119"/>
    <x v="23"/>
    <x v="3"/>
    <x v="0"/>
    <n v="10"/>
    <n v="508.57"/>
    <s v="Store D"/>
    <x v="1"/>
    <n v="0.05"/>
    <x v="5"/>
    <x v="0"/>
    <x v="0"/>
    <s v="Cust 1797"/>
    <n v="9.35"/>
    <x v="23"/>
    <d v="2023-08-11T00:00:00"/>
    <s v="Cameron"/>
    <x v="119"/>
  </r>
  <r>
    <s v="REG100120"/>
    <x v="113"/>
    <x v="3"/>
    <x v="0"/>
    <n v="11"/>
    <n v="259.61"/>
    <s v="Store C"/>
    <x v="0"/>
    <n v="0.1"/>
    <x v="3"/>
    <x v="4"/>
    <x v="0"/>
    <s v="Cust 9969"/>
    <n v="13.73"/>
    <x v="113"/>
    <d v="2024-01-31T00:00:00"/>
    <s v="Cameron"/>
    <x v="120"/>
  </r>
  <r>
    <s v="REG100121"/>
    <x v="114"/>
    <x v="3"/>
    <x v="3"/>
    <n v="9"/>
    <n v="313.29000000000002"/>
    <s v="Store D"/>
    <x v="1"/>
    <n v="0"/>
    <x v="3"/>
    <x v="0"/>
    <x v="0"/>
    <s v="Cust 1815"/>
    <n v="14.04"/>
    <x v="114"/>
    <d v="2024-03-13T00:00:00"/>
    <s v="Cameron"/>
    <x v="121"/>
  </r>
  <r>
    <s v="REG100122"/>
    <x v="115"/>
    <x v="1"/>
    <x v="5"/>
    <n v="5"/>
    <n v="106.57"/>
    <s v="Store C"/>
    <x v="0"/>
    <n v="0.1"/>
    <x v="3"/>
    <x v="3"/>
    <x v="1"/>
    <s v="Cust 7773"/>
    <n v="25.24"/>
    <x v="115"/>
    <d v="2024-01-28T00:00:00"/>
    <s v="Sophie"/>
    <x v="122"/>
  </r>
  <r>
    <s v="REG100123"/>
    <x v="0"/>
    <x v="0"/>
    <x v="6"/>
    <n v="1"/>
    <n v="109"/>
    <s v="Store B"/>
    <x v="1"/>
    <n v="0.15"/>
    <x v="2"/>
    <x v="4"/>
    <x v="1"/>
    <s v="Cust 1499"/>
    <n v="8.0299999999999994"/>
    <x v="0"/>
    <d v="2023-02-27T00:00:00"/>
    <s v="Eric"/>
    <x v="123"/>
  </r>
  <r>
    <s v="REG100124"/>
    <x v="116"/>
    <x v="2"/>
    <x v="5"/>
    <n v="8"/>
    <n v="323.8"/>
    <s v="Store B"/>
    <x v="1"/>
    <n v="0"/>
    <x v="4"/>
    <x v="4"/>
    <x v="1"/>
    <s v="Cust 3809"/>
    <n v="35.229999999999997"/>
    <x v="116"/>
    <d v="2023-06-22T00:00:00"/>
    <s v="Ryan"/>
    <x v="124"/>
  </r>
  <r>
    <s v="REG100125"/>
    <x v="92"/>
    <x v="2"/>
    <x v="0"/>
    <n v="16"/>
    <n v="384.32"/>
    <s v="Store A"/>
    <x v="1"/>
    <n v="0.05"/>
    <x v="2"/>
    <x v="4"/>
    <x v="0"/>
    <s v="Cust 7824"/>
    <n v="21.5"/>
    <x v="92"/>
    <d v="2025-05-15T00:00:00"/>
    <s v="Ryan"/>
    <x v="125"/>
  </r>
  <r>
    <s v="REG100126"/>
    <x v="117"/>
    <x v="3"/>
    <x v="6"/>
    <n v="16"/>
    <n v="163.86"/>
    <s v="Store C"/>
    <x v="1"/>
    <n v="0.15"/>
    <x v="4"/>
    <x v="1"/>
    <x v="0"/>
    <s v="Cust 7258"/>
    <n v="37.950000000000003"/>
    <x v="117"/>
    <d v="2024-08-06T00:00:00"/>
    <s v="Cameron"/>
    <x v="126"/>
  </r>
  <r>
    <s v="REG100127"/>
    <x v="118"/>
    <x v="0"/>
    <x v="5"/>
    <n v="5"/>
    <n v="23.41"/>
    <s v="Store B"/>
    <x v="0"/>
    <n v="0"/>
    <x v="2"/>
    <x v="2"/>
    <x v="0"/>
    <s v="Cust 1151"/>
    <n v="26.44"/>
    <x v="118"/>
    <d v="2024-07-27T00:00:00"/>
    <s v="Eric"/>
    <x v="127"/>
  </r>
  <r>
    <s v="REG100128"/>
    <x v="98"/>
    <x v="0"/>
    <x v="6"/>
    <n v="20"/>
    <n v="488.9"/>
    <s v="Store C"/>
    <x v="0"/>
    <n v="0.15"/>
    <x v="0"/>
    <x v="1"/>
    <x v="0"/>
    <s v="Cust 6486"/>
    <n v="21.77"/>
    <x v="98"/>
    <d v="2024-09-01T00:00:00"/>
    <s v="Eric"/>
    <x v="128"/>
  </r>
  <r>
    <s v="REG100129"/>
    <x v="119"/>
    <x v="4"/>
    <x v="5"/>
    <n v="7"/>
    <n v="452.56"/>
    <s v="Store A"/>
    <x v="0"/>
    <n v="0.05"/>
    <x v="2"/>
    <x v="1"/>
    <x v="0"/>
    <s v="Cust 4034"/>
    <n v="46.97"/>
    <x v="119"/>
    <d v="2025-06-15T00:00:00"/>
    <s v="Wendy"/>
    <x v="129"/>
  </r>
  <r>
    <s v="REG100130"/>
    <x v="120"/>
    <x v="2"/>
    <x v="2"/>
    <n v="11"/>
    <n v="465.24"/>
    <s v="Store A"/>
    <x v="0"/>
    <n v="0"/>
    <x v="3"/>
    <x v="3"/>
    <x v="1"/>
    <s v="Cust 9794"/>
    <n v="17.59"/>
    <x v="120"/>
    <d v="2025-05-23T00:00:00"/>
    <s v="Ryan"/>
    <x v="130"/>
  </r>
  <r>
    <s v="REG100131"/>
    <x v="118"/>
    <x v="0"/>
    <x v="1"/>
    <n v="14"/>
    <n v="442.65"/>
    <s v="Store B"/>
    <x v="1"/>
    <n v="0"/>
    <x v="0"/>
    <x v="1"/>
    <x v="0"/>
    <s v="Cust 2414"/>
    <n v="28.76"/>
    <x v="118"/>
    <d v="2024-07-24T00:00:00"/>
    <s v="Eric"/>
    <x v="131"/>
  </r>
  <r>
    <s v="REG100132"/>
    <x v="121"/>
    <x v="4"/>
    <x v="0"/>
    <n v="12"/>
    <n v="469.44"/>
    <s v="Store B"/>
    <x v="0"/>
    <n v="0"/>
    <x v="5"/>
    <x v="0"/>
    <x v="0"/>
    <s v="Cust 9024"/>
    <n v="33.299999999999997"/>
    <x v="121"/>
    <d v="2023-09-26T00:00:00"/>
    <s v="Wendy"/>
    <x v="132"/>
  </r>
  <r>
    <s v="REG100133"/>
    <x v="122"/>
    <x v="0"/>
    <x v="4"/>
    <n v="14"/>
    <n v="248.77"/>
    <s v="Store C"/>
    <x v="0"/>
    <n v="0.05"/>
    <x v="5"/>
    <x v="3"/>
    <x v="1"/>
    <s v="Cust 2663"/>
    <n v="21.76"/>
    <x v="122"/>
    <d v="2023-03-19T00:00:00"/>
    <s v="Eric"/>
    <x v="133"/>
  </r>
  <r>
    <s v="REG100134"/>
    <x v="88"/>
    <x v="1"/>
    <x v="3"/>
    <n v="4"/>
    <n v="565.29"/>
    <s v="Store D"/>
    <x v="0"/>
    <n v="0.05"/>
    <x v="1"/>
    <x v="4"/>
    <x v="0"/>
    <s v="Cust 2293"/>
    <n v="27.04"/>
    <x v="88"/>
    <d v="2023-04-03T00:00:00"/>
    <s v="Sophie"/>
    <x v="134"/>
  </r>
  <r>
    <s v="REG100135"/>
    <x v="123"/>
    <x v="3"/>
    <x v="2"/>
    <n v="12"/>
    <n v="244.8"/>
    <s v="Store B"/>
    <x v="0"/>
    <n v="0.05"/>
    <x v="2"/>
    <x v="0"/>
    <x v="0"/>
    <s v="Cust 8963"/>
    <n v="44.75"/>
    <x v="123"/>
    <d v="2023-07-23T00:00:00"/>
    <s v="Cameron"/>
    <x v="135"/>
  </r>
  <r>
    <s v="REG100136"/>
    <x v="124"/>
    <x v="4"/>
    <x v="0"/>
    <n v="13"/>
    <n v="290.93"/>
    <s v="Store C"/>
    <x v="1"/>
    <n v="0.05"/>
    <x v="4"/>
    <x v="2"/>
    <x v="0"/>
    <s v="Cust 9238"/>
    <n v="26.09"/>
    <x v="124"/>
    <d v="2024-03-31T00:00:00"/>
    <s v="Wendy"/>
    <x v="136"/>
  </r>
  <r>
    <s v="REG100137"/>
    <x v="125"/>
    <x v="3"/>
    <x v="0"/>
    <n v="11"/>
    <n v="229.49"/>
    <s v="Store C"/>
    <x v="1"/>
    <n v="0.1"/>
    <x v="5"/>
    <x v="4"/>
    <x v="0"/>
    <s v="Cust 1390"/>
    <n v="35.39"/>
    <x v="125"/>
    <d v="2024-05-17T00:00:00"/>
    <s v="Cameron"/>
    <x v="137"/>
  </r>
  <r>
    <s v="REG100138"/>
    <x v="126"/>
    <x v="3"/>
    <x v="4"/>
    <n v="2"/>
    <n v="427.36"/>
    <s v="Store A"/>
    <x v="0"/>
    <n v="0.05"/>
    <x v="4"/>
    <x v="0"/>
    <x v="0"/>
    <s v="Cust 8548"/>
    <n v="19.420000000000002"/>
    <x v="126"/>
    <d v="2023-06-02T00:00:00"/>
    <s v="Cameron"/>
    <x v="138"/>
  </r>
  <r>
    <s v="REG100139"/>
    <x v="127"/>
    <x v="2"/>
    <x v="1"/>
    <n v="2"/>
    <n v="443.51"/>
    <s v="Store C"/>
    <x v="0"/>
    <n v="0.05"/>
    <x v="1"/>
    <x v="4"/>
    <x v="0"/>
    <s v="Cust 2919"/>
    <n v="13.65"/>
    <x v="127"/>
    <d v="2023-03-22T00:00:00"/>
    <s v="Ryan"/>
    <x v="139"/>
  </r>
  <r>
    <s v="REG100140"/>
    <x v="128"/>
    <x v="3"/>
    <x v="2"/>
    <n v="13"/>
    <n v="280.63"/>
    <s v="Store B"/>
    <x v="0"/>
    <n v="0.15"/>
    <x v="1"/>
    <x v="2"/>
    <x v="0"/>
    <s v="Cust 5847"/>
    <n v="10.14"/>
    <x v="128"/>
    <d v="2023-08-14T00:00:00"/>
    <s v="Cameron"/>
    <x v="140"/>
  </r>
  <r>
    <s v="REG100141"/>
    <x v="129"/>
    <x v="2"/>
    <x v="3"/>
    <n v="13"/>
    <n v="416.66"/>
    <s v="Store B"/>
    <x v="0"/>
    <n v="0.15"/>
    <x v="5"/>
    <x v="2"/>
    <x v="0"/>
    <s v="Cust 5711"/>
    <n v="21.74"/>
    <x v="129"/>
    <d v="2024-10-20T00:00:00"/>
    <s v="Ryan"/>
    <x v="141"/>
  </r>
  <r>
    <s v="REG100142"/>
    <x v="130"/>
    <x v="0"/>
    <x v="3"/>
    <n v="11"/>
    <n v="589.48"/>
    <s v="Store B"/>
    <x v="1"/>
    <n v="0"/>
    <x v="1"/>
    <x v="0"/>
    <x v="0"/>
    <s v="Cust 5461"/>
    <n v="49.93"/>
    <x v="130"/>
    <d v="2025-02-25T00:00:00"/>
    <s v="Eric"/>
    <x v="142"/>
  </r>
  <r>
    <s v="REG100143"/>
    <x v="54"/>
    <x v="2"/>
    <x v="1"/>
    <n v="18"/>
    <n v="152.84"/>
    <s v="Store C"/>
    <x v="1"/>
    <n v="0.15"/>
    <x v="4"/>
    <x v="3"/>
    <x v="1"/>
    <s v="Cust 8905"/>
    <n v="20.3"/>
    <x v="54"/>
    <d v="2025-06-20T00:00:00"/>
    <s v="Ryan"/>
    <x v="143"/>
  </r>
  <r>
    <s v="REG100144"/>
    <x v="131"/>
    <x v="3"/>
    <x v="5"/>
    <n v="4"/>
    <n v="163.66"/>
    <s v="Store B"/>
    <x v="1"/>
    <n v="0"/>
    <x v="5"/>
    <x v="1"/>
    <x v="1"/>
    <s v="Cust 9618"/>
    <n v="31.8"/>
    <x v="131"/>
    <d v="2024-05-01T00:00:00"/>
    <s v="Cameron"/>
    <x v="144"/>
  </r>
  <r>
    <s v="REG100145"/>
    <x v="132"/>
    <x v="4"/>
    <x v="0"/>
    <n v="19"/>
    <n v="484.25"/>
    <s v="Store C"/>
    <x v="0"/>
    <n v="0.15"/>
    <x v="5"/>
    <x v="3"/>
    <x v="1"/>
    <s v="Cust 5203"/>
    <n v="29.51"/>
    <x v="132"/>
    <d v="2023-03-20T00:00:00"/>
    <s v="Wendy"/>
    <x v="145"/>
  </r>
  <r>
    <s v="REG100146"/>
    <x v="133"/>
    <x v="2"/>
    <x v="3"/>
    <n v="9"/>
    <n v="380.4"/>
    <s v="Store B"/>
    <x v="1"/>
    <n v="0.1"/>
    <x v="3"/>
    <x v="2"/>
    <x v="0"/>
    <s v="Cust 1732"/>
    <n v="31"/>
    <x v="133"/>
    <d v="2024-12-27T00:00:00"/>
    <s v="Ryan"/>
    <x v="146"/>
  </r>
  <r>
    <s v="REG100147"/>
    <x v="134"/>
    <x v="4"/>
    <x v="3"/>
    <n v="17"/>
    <n v="332.38"/>
    <s v="Store A"/>
    <x v="1"/>
    <n v="0.1"/>
    <x v="2"/>
    <x v="2"/>
    <x v="1"/>
    <s v="Cust 4734"/>
    <n v="33.81"/>
    <x v="134"/>
    <d v="2023-05-02T00:00:00"/>
    <s v="Wendy"/>
    <x v="147"/>
  </r>
  <r>
    <s v="REG100148"/>
    <x v="15"/>
    <x v="3"/>
    <x v="3"/>
    <n v="15"/>
    <n v="210.94"/>
    <s v="Store C"/>
    <x v="0"/>
    <n v="0.05"/>
    <x v="2"/>
    <x v="0"/>
    <x v="0"/>
    <s v="Cust 5895"/>
    <n v="10.91"/>
    <x v="15"/>
    <d v="2025-05-21T00:00:00"/>
    <s v="Cameron"/>
    <x v="148"/>
  </r>
  <r>
    <s v="REG100149"/>
    <x v="69"/>
    <x v="1"/>
    <x v="1"/>
    <n v="9"/>
    <n v="382.8"/>
    <s v="Store D"/>
    <x v="0"/>
    <n v="0"/>
    <x v="0"/>
    <x v="4"/>
    <x v="0"/>
    <s v="Cust 9691"/>
    <n v="47.94"/>
    <x v="69"/>
    <d v="2024-03-05T00:00:00"/>
    <s v="Sophie"/>
    <x v="149"/>
  </r>
  <r>
    <s v="REG100150"/>
    <x v="135"/>
    <x v="2"/>
    <x v="4"/>
    <n v="3"/>
    <n v="386.29"/>
    <s v="Store C"/>
    <x v="1"/>
    <n v="0.15"/>
    <x v="3"/>
    <x v="2"/>
    <x v="0"/>
    <s v="Cust 5406"/>
    <n v="32.450000000000003"/>
    <x v="135"/>
    <d v="2025-01-30T00:00:00"/>
    <s v="Ryan"/>
    <x v="150"/>
  </r>
  <r>
    <s v="REG100151"/>
    <x v="61"/>
    <x v="2"/>
    <x v="5"/>
    <n v="5"/>
    <n v="225.99"/>
    <s v="Store C"/>
    <x v="1"/>
    <n v="0"/>
    <x v="0"/>
    <x v="0"/>
    <x v="1"/>
    <s v="Cust 5750"/>
    <n v="10.88"/>
    <x v="61"/>
    <d v="2025-03-30T00:00:00"/>
    <s v="Ryan"/>
    <x v="151"/>
  </r>
  <r>
    <s v="REG100152"/>
    <x v="136"/>
    <x v="1"/>
    <x v="6"/>
    <n v="20"/>
    <n v="312.56"/>
    <s v="Store D"/>
    <x v="1"/>
    <n v="0.15"/>
    <x v="2"/>
    <x v="1"/>
    <x v="0"/>
    <s v="Cust 6506"/>
    <n v="47.39"/>
    <x v="136"/>
    <d v="2025-03-30T00:00:00"/>
    <s v="Sophie"/>
    <x v="152"/>
  </r>
  <r>
    <s v="REG100153"/>
    <x v="130"/>
    <x v="2"/>
    <x v="1"/>
    <n v="13"/>
    <n v="433.77"/>
    <s v="Store C"/>
    <x v="0"/>
    <n v="0.05"/>
    <x v="2"/>
    <x v="4"/>
    <x v="0"/>
    <s v="Cust 8280"/>
    <n v="17.61"/>
    <x v="130"/>
    <d v="2025-02-21T00:00:00"/>
    <s v="Ryan"/>
    <x v="153"/>
  </r>
  <r>
    <s v="REG100154"/>
    <x v="137"/>
    <x v="1"/>
    <x v="5"/>
    <n v="20"/>
    <n v="159.33000000000001"/>
    <s v="Store A"/>
    <x v="0"/>
    <n v="0"/>
    <x v="0"/>
    <x v="0"/>
    <x v="0"/>
    <s v="Cust 4358"/>
    <n v="26.32"/>
    <x v="137"/>
    <d v="2024-11-11T00:00:00"/>
    <s v="Sophie"/>
    <x v="154"/>
  </r>
  <r>
    <s v="REG100155"/>
    <x v="138"/>
    <x v="1"/>
    <x v="1"/>
    <n v="18"/>
    <n v="32.229999999999997"/>
    <s v="Store B"/>
    <x v="1"/>
    <n v="0.05"/>
    <x v="5"/>
    <x v="2"/>
    <x v="0"/>
    <s v="Cust 3588"/>
    <n v="6.04"/>
    <x v="138"/>
    <d v="2024-03-21T00:00:00"/>
    <s v="Sophie"/>
    <x v="155"/>
  </r>
  <r>
    <s v="REG100156"/>
    <x v="139"/>
    <x v="1"/>
    <x v="4"/>
    <n v="3"/>
    <n v="527.77"/>
    <s v="Store C"/>
    <x v="1"/>
    <n v="0.1"/>
    <x v="5"/>
    <x v="4"/>
    <x v="0"/>
    <s v="Cust 4539"/>
    <n v="48.66"/>
    <x v="139"/>
    <d v="2023-09-01T00:00:00"/>
    <s v="Sophie"/>
    <x v="156"/>
  </r>
  <r>
    <s v="REG100157"/>
    <x v="19"/>
    <x v="1"/>
    <x v="3"/>
    <n v="14"/>
    <n v="291.08999999999997"/>
    <s v="Store A"/>
    <x v="1"/>
    <n v="0"/>
    <x v="3"/>
    <x v="4"/>
    <x v="0"/>
    <s v="Cust 7067"/>
    <n v="39.979999999999997"/>
    <x v="19"/>
    <d v="2023-06-30T00:00:00"/>
    <s v="Sophie"/>
    <x v="157"/>
  </r>
  <r>
    <s v="REG100158"/>
    <x v="62"/>
    <x v="1"/>
    <x v="1"/>
    <n v="8"/>
    <n v="350.12"/>
    <s v="Store C"/>
    <x v="1"/>
    <n v="0"/>
    <x v="1"/>
    <x v="1"/>
    <x v="1"/>
    <s v="Cust 7720"/>
    <n v="31.65"/>
    <x v="62"/>
    <d v="2024-03-01T00:00:00"/>
    <s v="Sophie"/>
    <x v="158"/>
  </r>
  <r>
    <s v="REG100159"/>
    <x v="10"/>
    <x v="2"/>
    <x v="1"/>
    <n v="10"/>
    <n v="195.26"/>
    <s v="Store D"/>
    <x v="1"/>
    <n v="0.05"/>
    <x v="1"/>
    <x v="2"/>
    <x v="0"/>
    <s v="Cust 5668"/>
    <n v="46.91"/>
    <x v="10"/>
    <d v="2024-04-15T00:00:00"/>
    <s v="Ryan"/>
    <x v="159"/>
  </r>
  <r>
    <s v="REG100160"/>
    <x v="140"/>
    <x v="1"/>
    <x v="4"/>
    <n v="13"/>
    <n v="291.10000000000002"/>
    <s v="Store A"/>
    <x v="0"/>
    <n v="0"/>
    <x v="1"/>
    <x v="0"/>
    <x v="0"/>
    <s v="Cust 8367"/>
    <n v="7.66"/>
    <x v="140"/>
    <d v="2023-05-19T00:00:00"/>
    <s v="Sophie"/>
    <x v="160"/>
  </r>
  <r>
    <s v="REG100161"/>
    <x v="141"/>
    <x v="1"/>
    <x v="4"/>
    <n v="6"/>
    <n v="93.92"/>
    <s v="Store B"/>
    <x v="0"/>
    <n v="0.15"/>
    <x v="0"/>
    <x v="2"/>
    <x v="0"/>
    <s v="Cust 4438"/>
    <n v="11"/>
    <x v="141"/>
    <d v="2023-03-18T00:00:00"/>
    <s v="Sophie"/>
    <x v="161"/>
  </r>
  <r>
    <s v="REG100162"/>
    <x v="142"/>
    <x v="3"/>
    <x v="6"/>
    <n v="5"/>
    <n v="15.92"/>
    <s v="Store D"/>
    <x v="1"/>
    <n v="0"/>
    <x v="0"/>
    <x v="2"/>
    <x v="1"/>
    <s v="Cust 3481"/>
    <n v="8.66"/>
    <x v="142"/>
    <d v="2024-08-26T00:00:00"/>
    <s v="Cameron"/>
    <x v="162"/>
  </r>
  <r>
    <s v="REG100163"/>
    <x v="143"/>
    <x v="1"/>
    <x v="4"/>
    <n v="16"/>
    <n v="120.22"/>
    <s v="Store D"/>
    <x v="1"/>
    <n v="0.15"/>
    <x v="5"/>
    <x v="4"/>
    <x v="0"/>
    <s v="Cust 1489"/>
    <n v="8.42"/>
    <x v="143"/>
    <d v="2024-03-01T00:00:00"/>
    <s v="Sophie"/>
    <x v="163"/>
  </r>
  <r>
    <s v="REG100164"/>
    <x v="144"/>
    <x v="2"/>
    <x v="4"/>
    <n v="11"/>
    <n v="118.8"/>
    <s v="Store A"/>
    <x v="1"/>
    <n v="0.05"/>
    <x v="0"/>
    <x v="0"/>
    <x v="0"/>
    <s v="Cust 6649"/>
    <n v="39.32"/>
    <x v="144"/>
    <d v="2024-02-06T00:00:00"/>
    <s v="Ryan"/>
    <x v="164"/>
  </r>
  <r>
    <s v="REG100165"/>
    <x v="145"/>
    <x v="0"/>
    <x v="5"/>
    <n v="10"/>
    <n v="92.45"/>
    <s v="Store C"/>
    <x v="0"/>
    <n v="0.1"/>
    <x v="2"/>
    <x v="4"/>
    <x v="1"/>
    <s v="Cust 6114"/>
    <n v="42.61"/>
    <x v="145"/>
    <d v="2024-01-29T00:00:00"/>
    <s v="Eric"/>
    <x v="165"/>
  </r>
  <r>
    <s v="REG100166"/>
    <x v="82"/>
    <x v="2"/>
    <x v="0"/>
    <n v="19"/>
    <n v="463.51"/>
    <s v="Store B"/>
    <x v="1"/>
    <n v="0"/>
    <x v="5"/>
    <x v="4"/>
    <x v="0"/>
    <s v="Cust 9589"/>
    <n v="49.38"/>
    <x v="82"/>
    <d v="2023-01-08T00:00:00"/>
    <s v="Ryan"/>
    <x v="166"/>
  </r>
  <r>
    <s v="REG100167"/>
    <x v="146"/>
    <x v="2"/>
    <x v="2"/>
    <n v="7"/>
    <n v="284.7"/>
    <s v="Store D"/>
    <x v="0"/>
    <n v="0.05"/>
    <x v="5"/>
    <x v="1"/>
    <x v="0"/>
    <s v="Cust 8184"/>
    <n v="5.36"/>
    <x v="146"/>
    <d v="2023-12-30T00:00:00"/>
    <s v="Ryan"/>
    <x v="167"/>
  </r>
  <r>
    <s v="REG100168"/>
    <x v="147"/>
    <x v="4"/>
    <x v="0"/>
    <n v="20"/>
    <n v="343.25"/>
    <s v="Store C"/>
    <x v="0"/>
    <n v="0.05"/>
    <x v="1"/>
    <x v="3"/>
    <x v="0"/>
    <s v="Cust 2490"/>
    <n v="28.77"/>
    <x v="147"/>
    <d v="2023-06-02T00:00:00"/>
    <s v="Wendy"/>
    <x v="168"/>
  </r>
  <r>
    <s v="REG100169"/>
    <x v="148"/>
    <x v="3"/>
    <x v="3"/>
    <n v="6"/>
    <n v="95.24"/>
    <s v="Store D"/>
    <x v="0"/>
    <n v="0.15"/>
    <x v="4"/>
    <x v="1"/>
    <x v="0"/>
    <s v="Cust 1647"/>
    <n v="18.72"/>
    <x v="148"/>
    <d v="2025-07-08T00:00:00"/>
    <s v="Cameron"/>
    <x v="169"/>
  </r>
  <r>
    <s v="REG100170"/>
    <x v="149"/>
    <x v="4"/>
    <x v="2"/>
    <n v="13"/>
    <n v="104.8"/>
    <s v="Store B"/>
    <x v="1"/>
    <n v="0.05"/>
    <x v="4"/>
    <x v="2"/>
    <x v="0"/>
    <s v="Cust 2017"/>
    <n v="7.79"/>
    <x v="149"/>
    <d v="2025-02-19T00:00:00"/>
    <s v="Wendy"/>
    <x v="170"/>
  </r>
  <r>
    <s v="REG100171"/>
    <x v="150"/>
    <x v="4"/>
    <x v="5"/>
    <n v="12"/>
    <n v="164.31"/>
    <s v="Store B"/>
    <x v="0"/>
    <n v="0.1"/>
    <x v="0"/>
    <x v="4"/>
    <x v="1"/>
    <s v="Cust 3446"/>
    <n v="38.9"/>
    <x v="150"/>
    <d v="2024-01-07T00:00:00"/>
    <s v="Wendy"/>
    <x v="171"/>
  </r>
  <r>
    <s v="REG100172"/>
    <x v="151"/>
    <x v="1"/>
    <x v="5"/>
    <n v="10"/>
    <n v="325.18"/>
    <s v="Store C"/>
    <x v="0"/>
    <n v="0.1"/>
    <x v="1"/>
    <x v="4"/>
    <x v="0"/>
    <s v="Cust 4877"/>
    <n v="47.39"/>
    <x v="151"/>
    <d v="2023-02-13T00:00:00"/>
    <s v="Sophie"/>
    <x v="172"/>
  </r>
  <r>
    <s v="REG100173"/>
    <x v="152"/>
    <x v="0"/>
    <x v="4"/>
    <n v="17"/>
    <n v="542.82000000000005"/>
    <s v="Store A"/>
    <x v="0"/>
    <n v="0"/>
    <x v="1"/>
    <x v="3"/>
    <x v="1"/>
    <s v="Cust 9112"/>
    <n v="7.13"/>
    <x v="152"/>
    <d v="2024-03-08T00:00:00"/>
    <s v="Eric"/>
    <x v="173"/>
  </r>
  <r>
    <s v="REG100174"/>
    <x v="56"/>
    <x v="2"/>
    <x v="5"/>
    <n v="14"/>
    <n v="207.48"/>
    <s v="Store C"/>
    <x v="0"/>
    <n v="0.05"/>
    <x v="0"/>
    <x v="0"/>
    <x v="0"/>
    <s v="Cust 8172"/>
    <n v="5.7"/>
    <x v="56"/>
    <d v="2023-06-02T00:00:00"/>
    <s v="Ryan"/>
    <x v="174"/>
  </r>
  <r>
    <s v="REG100175"/>
    <x v="153"/>
    <x v="2"/>
    <x v="6"/>
    <n v="17"/>
    <n v="527.88"/>
    <s v="Store D"/>
    <x v="1"/>
    <n v="0.05"/>
    <x v="5"/>
    <x v="4"/>
    <x v="0"/>
    <s v="Cust 4597"/>
    <n v="21.32"/>
    <x v="153"/>
    <d v="2025-06-28T00:00:00"/>
    <s v="Ryan"/>
    <x v="175"/>
  </r>
  <r>
    <s v="REG100176"/>
    <x v="154"/>
    <x v="2"/>
    <x v="3"/>
    <n v="11"/>
    <n v="71.209999999999994"/>
    <s v="Store B"/>
    <x v="1"/>
    <n v="0.05"/>
    <x v="4"/>
    <x v="0"/>
    <x v="1"/>
    <s v="Cust 3690"/>
    <n v="44.2"/>
    <x v="154"/>
    <d v="2023-04-14T00:00:00"/>
    <s v="Ryan"/>
    <x v="176"/>
  </r>
  <r>
    <s v="REG100177"/>
    <x v="155"/>
    <x v="3"/>
    <x v="6"/>
    <n v="8"/>
    <n v="486.07"/>
    <s v="Store B"/>
    <x v="1"/>
    <n v="0"/>
    <x v="3"/>
    <x v="3"/>
    <x v="0"/>
    <s v="Cust 2893"/>
    <n v="10.68"/>
    <x v="155"/>
    <d v="2025-03-10T00:00:00"/>
    <s v="Cameron"/>
    <x v="177"/>
  </r>
  <r>
    <s v="REG100178"/>
    <x v="156"/>
    <x v="0"/>
    <x v="0"/>
    <n v="6"/>
    <n v="555.03"/>
    <s v="Store C"/>
    <x v="1"/>
    <n v="0.1"/>
    <x v="2"/>
    <x v="2"/>
    <x v="1"/>
    <s v="Cust 5602"/>
    <n v="23.69"/>
    <x v="156"/>
    <d v="2024-07-20T00:00:00"/>
    <s v="Eric"/>
    <x v="178"/>
  </r>
  <r>
    <s v="REG100179"/>
    <x v="157"/>
    <x v="0"/>
    <x v="2"/>
    <n v="13"/>
    <n v="421.08"/>
    <s v="Store B"/>
    <x v="0"/>
    <n v="0"/>
    <x v="5"/>
    <x v="4"/>
    <x v="0"/>
    <s v="Cust 5616"/>
    <n v="24.51"/>
    <x v="157"/>
    <d v="2024-08-20T00:00:00"/>
    <s v="Eric"/>
    <x v="179"/>
  </r>
  <r>
    <s v="REG100180"/>
    <x v="148"/>
    <x v="2"/>
    <x v="0"/>
    <n v="16"/>
    <n v="76.17"/>
    <s v="Store D"/>
    <x v="0"/>
    <n v="0.1"/>
    <x v="1"/>
    <x v="4"/>
    <x v="0"/>
    <s v="Cust 1312"/>
    <n v="41.88"/>
    <x v="148"/>
    <d v="2025-07-09T00:00:00"/>
    <s v="Ryan"/>
    <x v="180"/>
  </r>
  <r>
    <s v="REG100181"/>
    <x v="158"/>
    <x v="1"/>
    <x v="6"/>
    <n v="3"/>
    <n v="503.55"/>
    <s v="Store C"/>
    <x v="0"/>
    <n v="0.1"/>
    <x v="5"/>
    <x v="2"/>
    <x v="0"/>
    <s v="Cust 6315"/>
    <n v="37.49"/>
    <x v="158"/>
    <d v="2024-11-13T00:00:00"/>
    <s v="Sophie"/>
    <x v="181"/>
  </r>
  <r>
    <s v="REG100182"/>
    <x v="159"/>
    <x v="0"/>
    <x v="5"/>
    <n v="5"/>
    <n v="31.56"/>
    <s v="Store D"/>
    <x v="1"/>
    <n v="0"/>
    <x v="4"/>
    <x v="0"/>
    <x v="1"/>
    <s v="Cust 1224"/>
    <n v="29.56"/>
    <x v="159"/>
    <d v="2025-04-04T00:00:00"/>
    <s v="Eric"/>
    <x v="182"/>
  </r>
  <r>
    <s v="REG100183"/>
    <x v="160"/>
    <x v="4"/>
    <x v="0"/>
    <n v="16"/>
    <n v="72.92"/>
    <s v="Store C"/>
    <x v="0"/>
    <n v="0.05"/>
    <x v="2"/>
    <x v="4"/>
    <x v="0"/>
    <s v="Cust 7182"/>
    <n v="5.7"/>
    <x v="160"/>
    <d v="2024-07-06T00:00:00"/>
    <s v="Wendy"/>
    <x v="183"/>
  </r>
  <r>
    <s v="REG100184"/>
    <x v="63"/>
    <x v="4"/>
    <x v="6"/>
    <n v="18"/>
    <n v="421.93"/>
    <s v="Store D"/>
    <x v="1"/>
    <n v="0.05"/>
    <x v="5"/>
    <x v="1"/>
    <x v="0"/>
    <s v="Cust 7901"/>
    <n v="23.42"/>
    <x v="63"/>
    <d v="2023-12-18T00:00:00"/>
    <s v="Wendy"/>
    <x v="184"/>
  </r>
  <r>
    <s v="REG100185"/>
    <x v="161"/>
    <x v="2"/>
    <x v="2"/>
    <n v="15"/>
    <n v="478.41"/>
    <s v="Store B"/>
    <x v="1"/>
    <n v="0.1"/>
    <x v="3"/>
    <x v="3"/>
    <x v="0"/>
    <s v="Cust 1736"/>
    <n v="35.630000000000003"/>
    <x v="161"/>
    <d v="2023-06-30T00:00:00"/>
    <s v="Ryan"/>
    <x v="185"/>
  </r>
  <r>
    <s v="REG100186"/>
    <x v="123"/>
    <x v="1"/>
    <x v="3"/>
    <n v="9"/>
    <n v="501.74"/>
    <s v="Store D"/>
    <x v="1"/>
    <n v="0"/>
    <x v="5"/>
    <x v="0"/>
    <x v="1"/>
    <s v="Cust 7795"/>
    <n v="39.74"/>
    <x v="123"/>
    <d v="2023-07-17T00:00:00"/>
    <s v="Sophie"/>
    <x v="186"/>
  </r>
  <r>
    <s v="REG100187"/>
    <x v="162"/>
    <x v="1"/>
    <x v="5"/>
    <n v="7"/>
    <n v="247.53"/>
    <s v="Store C"/>
    <x v="0"/>
    <n v="0.15"/>
    <x v="1"/>
    <x v="1"/>
    <x v="0"/>
    <s v="Cust 2471"/>
    <n v="13.63"/>
    <x v="162"/>
    <d v="2023-02-16T00:00:00"/>
    <s v="Sophie"/>
    <x v="187"/>
  </r>
  <r>
    <s v="REG100188"/>
    <x v="163"/>
    <x v="4"/>
    <x v="5"/>
    <n v="6"/>
    <n v="176.51"/>
    <s v="Store C"/>
    <x v="0"/>
    <n v="0.15"/>
    <x v="3"/>
    <x v="3"/>
    <x v="1"/>
    <s v="Cust 3068"/>
    <n v="31.02"/>
    <x v="163"/>
    <d v="2024-07-07T00:00:00"/>
    <s v="Wendy"/>
    <x v="188"/>
  </r>
  <r>
    <s v="REG100189"/>
    <x v="164"/>
    <x v="4"/>
    <x v="0"/>
    <n v="2"/>
    <n v="143.43"/>
    <s v="Store D"/>
    <x v="0"/>
    <n v="0"/>
    <x v="5"/>
    <x v="2"/>
    <x v="0"/>
    <s v="Cust 3848"/>
    <n v="36.94"/>
    <x v="164"/>
    <d v="2024-04-22T00:00:00"/>
    <s v="Wendy"/>
    <x v="189"/>
  </r>
  <r>
    <s v="REG100190"/>
    <x v="165"/>
    <x v="0"/>
    <x v="4"/>
    <n v="12"/>
    <n v="538.5"/>
    <s v="Store C"/>
    <x v="0"/>
    <n v="0.05"/>
    <x v="1"/>
    <x v="4"/>
    <x v="0"/>
    <s v="Cust 7777"/>
    <n v="18.54"/>
    <x v="165"/>
    <d v="2023-12-06T00:00:00"/>
    <s v="Eric"/>
    <x v="190"/>
  </r>
  <r>
    <s v="REG100191"/>
    <x v="166"/>
    <x v="0"/>
    <x v="6"/>
    <n v="5"/>
    <n v="87.17"/>
    <s v="Store D"/>
    <x v="0"/>
    <n v="0"/>
    <x v="3"/>
    <x v="3"/>
    <x v="0"/>
    <s v="Cust 6613"/>
    <n v="13.01"/>
    <x v="166"/>
    <d v="2025-03-29T00:00:00"/>
    <s v="Eric"/>
    <x v="191"/>
  </r>
  <r>
    <s v="REG100192"/>
    <x v="23"/>
    <x v="1"/>
    <x v="4"/>
    <n v="7"/>
    <n v="498.32"/>
    <s v="Store B"/>
    <x v="0"/>
    <n v="0.1"/>
    <x v="1"/>
    <x v="2"/>
    <x v="1"/>
    <s v="Cust 2326"/>
    <n v="27.65"/>
    <x v="23"/>
    <d v="2023-08-10T00:00:00"/>
    <s v="Sophie"/>
    <x v="192"/>
  </r>
  <r>
    <s v="REG100193"/>
    <x v="167"/>
    <x v="1"/>
    <x v="6"/>
    <n v="15"/>
    <n v="57.14"/>
    <s v="Store B"/>
    <x v="0"/>
    <n v="0.15"/>
    <x v="3"/>
    <x v="3"/>
    <x v="0"/>
    <s v="Cust 8304"/>
    <n v="7.02"/>
    <x v="167"/>
    <d v="2024-12-22T00:00:00"/>
    <s v="Sophie"/>
    <x v="193"/>
  </r>
  <r>
    <s v="REG100194"/>
    <x v="50"/>
    <x v="3"/>
    <x v="5"/>
    <n v="18"/>
    <n v="124.18"/>
    <s v="Store B"/>
    <x v="0"/>
    <n v="0.15"/>
    <x v="3"/>
    <x v="3"/>
    <x v="0"/>
    <s v="Cust 3630"/>
    <n v="45.77"/>
    <x v="50"/>
    <d v="2025-01-26T00:00:00"/>
    <s v="Cameron"/>
    <x v="194"/>
  </r>
  <r>
    <s v="REG100195"/>
    <x v="168"/>
    <x v="4"/>
    <x v="2"/>
    <n v="12"/>
    <n v="107.45"/>
    <s v="Store C"/>
    <x v="1"/>
    <n v="0.1"/>
    <x v="5"/>
    <x v="0"/>
    <x v="0"/>
    <s v="Cust 8617"/>
    <n v="18.170000000000002"/>
    <x v="168"/>
    <d v="2023-12-02T00:00:00"/>
    <s v="Wendy"/>
    <x v="195"/>
  </r>
  <r>
    <s v="REG100196"/>
    <x v="169"/>
    <x v="0"/>
    <x v="3"/>
    <n v="8"/>
    <n v="411.26"/>
    <s v="Store A"/>
    <x v="1"/>
    <n v="0.1"/>
    <x v="2"/>
    <x v="1"/>
    <x v="0"/>
    <s v="Cust 3530"/>
    <n v="28.57"/>
    <x v="169"/>
    <d v="2023-02-18T00:00:00"/>
    <s v="Eric"/>
    <x v="196"/>
  </r>
  <r>
    <s v="REG100197"/>
    <x v="170"/>
    <x v="3"/>
    <x v="6"/>
    <n v="7"/>
    <n v="248.1"/>
    <s v="Store C"/>
    <x v="1"/>
    <n v="0"/>
    <x v="4"/>
    <x v="4"/>
    <x v="0"/>
    <s v="Cust 3884"/>
    <n v="31.8"/>
    <x v="170"/>
    <d v="2025-02-06T00:00:00"/>
    <s v="Cameron"/>
    <x v="197"/>
  </r>
  <r>
    <s v="REG100198"/>
    <x v="171"/>
    <x v="4"/>
    <x v="6"/>
    <n v="3"/>
    <n v="486.52"/>
    <s v="Store B"/>
    <x v="0"/>
    <n v="0.1"/>
    <x v="3"/>
    <x v="1"/>
    <x v="0"/>
    <s v="Cust 5739"/>
    <n v="16.5"/>
    <x v="171"/>
    <d v="2023-04-20T00:00:00"/>
    <s v="Wendy"/>
    <x v="1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location ref="A3:B9" firstHeaderRow="1" firstDataRow="1" firstDataCol="1"/>
  <pivotFields count="20">
    <pivotField showAll="0"/>
    <pivotField numFmtId="164" showAll="0"/>
    <pivotField axis="axisRow" showAll="0">
      <items count="6">
        <item x="3"/>
        <item x="0"/>
        <item x="2"/>
        <item x="1"/>
        <item x="4"/>
        <item t="default"/>
      </items>
    </pivotField>
    <pivotField showAll="0"/>
    <pivotField showAll="0"/>
    <pivotField numFmtId="165" showAll="0"/>
    <pivotField showAll="0"/>
    <pivotField showAll="0"/>
    <pivotField numFmtId="10" showAll="0"/>
    <pivotField showAll="0"/>
    <pivotField showAll="0"/>
    <pivotField showAll="0"/>
    <pivotField showAll="0"/>
    <pivotField numFmtId="165" showAll="0"/>
    <pivotField numFmtId="14" showAll="0">
      <items count="15">
        <item x="0"/>
        <item x="1"/>
        <item x="2"/>
        <item x="3"/>
        <item x="4"/>
        <item x="5"/>
        <item x="6"/>
        <item x="7"/>
        <item x="8"/>
        <item x="9"/>
        <item x="10"/>
        <item x="11"/>
        <item x="12"/>
        <item x="13"/>
        <item t="default"/>
      </items>
    </pivotField>
    <pivotField numFmtId="14" showAll="0"/>
    <pivotField showAll="0"/>
    <pivotField dataField="1" showAll="0">
      <items count="200">
        <item x="162"/>
        <item x="26"/>
        <item x="123"/>
        <item x="6"/>
        <item x="12"/>
        <item x="127"/>
        <item x="106"/>
        <item x="28"/>
        <item x="182"/>
        <item x="68"/>
        <item x="13"/>
        <item x="65"/>
        <item x="86"/>
        <item x="52"/>
        <item x="189"/>
        <item x="96"/>
        <item x="80"/>
        <item x="46"/>
        <item x="32"/>
        <item x="19"/>
        <item x="191"/>
        <item x="42"/>
        <item x="29"/>
        <item x="57"/>
        <item x="108"/>
        <item x="51"/>
        <item x="1"/>
        <item x="122"/>
        <item x="161"/>
        <item x="109"/>
        <item x="117"/>
        <item x="155"/>
        <item x="169"/>
        <item x="74"/>
        <item x="112"/>
        <item x="105"/>
        <item x="69"/>
        <item x="110"/>
        <item x="144"/>
        <item x="101"/>
        <item x="53"/>
        <item x="5"/>
        <item x="63"/>
        <item x="176"/>
        <item x="44"/>
        <item x="48"/>
        <item x="193"/>
        <item x="50"/>
        <item x="138"/>
        <item x="139"/>
        <item x="165"/>
        <item x="7"/>
        <item x="39"/>
        <item x="188"/>
        <item x="114"/>
        <item x="102"/>
        <item x="151"/>
        <item x="27"/>
        <item x="35"/>
        <item x="183"/>
        <item x="150"/>
        <item x="180"/>
        <item x="195"/>
        <item x="41"/>
        <item x="8"/>
        <item x="111"/>
        <item x="164"/>
        <item x="170"/>
        <item x="62"/>
        <item x="91"/>
        <item x="198"/>
        <item x="24"/>
        <item x="181"/>
        <item x="156"/>
        <item x="9"/>
        <item x="103"/>
        <item x="187"/>
        <item x="197"/>
        <item x="43"/>
        <item x="163"/>
        <item x="167"/>
        <item x="159"/>
        <item x="171"/>
        <item x="118"/>
        <item x="81"/>
        <item x="37"/>
        <item x="34"/>
        <item x="194"/>
        <item x="134"/>
        <item x="40"/>
        <item x="104"/>
        <item x="61"/>
        <item x="66"/>
        <item x="56"/>
        <item x="137"/>
        <item x="82"/>
        <item x="73"/>
        <item x="55"/>
        <item x="124"/>
        <item x="84"/>
        <item x="126"/>
        <item x="77"/>
        <item x="143"/>
        <item x="15"/>
        <item x="116"/>
        <item x="158"/>
        <item x="121"/>
        <item x="120"/>
        <item x="174"/>
        <item x="135"/>
        <item x="31"/>
        <item x="36"/>
        <item x="148"/>
        <item x="78"/>
        <item x="54"/>
        <item x="154"/>
        <item x="129"/>
        <item x="20"/>
        <item x="94"/>
        <item x="67"/>
        <item x="172"/>
        <item x="196"/>
        <item x="14"/>
        <item x="178"/>
        <item x="49"/>
        <item x="146"/>
        <item x="149"/>
        <item x="133"/>
        <item x="192"/>
        <item x="140"/>
        <item x="30"/>
        <item x="160"/>
        <item x="136"/>
        <item x="115"/>
        <item x="177"/>
        <item x="11"/>
        <item x="157"/>
        <item x="58"/>
        <item x="4"/>
        <item x="21"/>
        <item x="100"/>
        <item x="16"/>
        <item x="186"/>
        <item x="93"/>
        <item x="47"/>
        <item x="45"/>
        <item x="2"/>
        <item x="70"/>
        <item x="97"/>
        <item x="119"/>
        <item x="130"/>
        <item x="95"/>
        <item x="141"/>
        <item x="179"/>
        <item x="75"/>
        <item x="22"/>
        <item x="153"/>
        <item x="132"/>
        <item x="147"/>
        <item x="23"/>
        <item x="59"/>
        <item x="60"/>
        <item x="92"/>
        <item x="38"/>
        <item x="125"/>
        <item x="89"/>
        <item x="131"/>
        <item x="76"/>
        <item x="152"/>
        <item x="72"/>
        <item x="17"/>
        <item x="190"/>
        <item x="142"/>
        <item x="79"/>
        <item x="168"/>
        <item x="3"/>
        <item x="83"/>
        <item x="185"/>
        <item x="25"/>
        <item x="85"/>
        <item x="107"/>
        <item x="184"/>
        <item x="64"/>
        <item x="10"/>
        <item x="99"/>
        <item x="33"/>
        <item x="88"/>
        <item x="166"/>
        <item x="175"/>
        <item x="145"/>
        <item x="173"/>
        <item x="113"/>
        <item x="128"/>
        <item x="98"/>
        <item x="18"/>
        <item x="90"/>
        <item x="71"/>
        <item x="87"/>
        <item x="0"/>
        <item t="default"/>
      </items>
    </pivotField>
    <pivotField showAll="0" defaultSubtotal="0">
      <items count="6">
        <item x="0"/>
        <item x="1"/>
        <item x="2"/>
        <item x="3"/>
        <item x="4"/>
        <item x="5"/>
      </items>
    </pivotField>
    <pivotField showAll="0" defaultSubtotal="0">
      <items count="5">
        <item x="0"/>
        <item x="1"/>
        <item x="2"/>
        <item x="3"/>
        <item x="4"/>
      </items>
    </pivotField>
  </pivotFields>
  <rowFields count="1">
    <field x="2"/>
  </rowFields>
  <rowItems count="6">
    <i>
      <x/>
    </i>
    <i>
      <x v="1"/>
    </i>
    <i>
      <x v="2"/>
    </i>
    <i>
      <x v="3"/>
    </i>
    <i>
      <x v="4"/>
    </i>
    <i t="grand">
      <x/>
    </i>
  </rowItems>
  <colItems count="1">
    <i/>
  </colItems>
  <dataFields count="1">
    <dataField name="Sum of Total Price" fld="17" baseField="2" baseItem="1" numFmtId="16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location ref="A3:B11" firstHeaderRow="1" firstDataRow="1" firstDataCol="1"/>
  <pivotFields count="20">
    <pivotField showAll="0"/>
    <pivotField numFmtId="164" showAll="0"/>
    <pivotField showAll="0"/>
    <pivotField axis="axisRow" showAll="0">
      <items count="8">
        <item x="3"/>
        <item x="2"/>
        <item x="0"/>
        <item x="4"/>
        <item x="1"/>
        <item x="6"/>
        <item x="5"/>
        <item t="default"/>
      </items>
    </pivotField>
    <pivotField showAll="0"/>
    <pivotField numFmtId="165" showAll="0"/>
    <pivotField showAll="0"/>
    <pivotField showAll="0"/>
    <pivotField numFmtId="10" showAll="0"/>
    <pivotField showAll="0"/>
    <pivotField showAll="0"/>
    <pivotField showAll="0"/>
    <pivotField showAll="0"/>
    <pivotField numFmtId="165" showAll="0"/>
    <pivotField numFmtId="14" showAll="0">
      <items count="15">
        <item x="0"/>
        <item x="1"/>
        <item x="2"/>
        <item x="3"/>
        <item x="4"/>
        <item x="5"/>
        <item x="6"/>
        <item x="7"/>
        <item x="8"/>
        <item x="9"/>
        <item x="10"/>
        <item x="11"/>
        <item x="12"/>
        <item x="13"/>
        <item t="default"/>
      </items>
    </pivotField>
    <pivotField numFmtId="14" showAll="0"/>
    <pivotField showAll="0"/>
    <pivotField dataField="1" showAll="0">
      <items count="200">
        <item x="162"/>
        <item x="26"/>
        <item x="123"/>
        <item x="6"/>
        <item x="12"/>
        <item x="127"/>
        <item x="106"/>
        <item x="28"/>
        <item x="182"/>
        <item x="68"/>
        <item x="13"/>
        <item x="65"/>
        <item x="86"/>
        <item x="52"/>
        <item x="189"/>
        <item x="96"/>
        <item x="80"/>
        <item x="46"/>
        <item x="32"/>
        <item x="19"/>
        <item x="191"/>
        <item x="42"/>
        <item x="29"/>
        <item x="57"/>
        <item x="108"/>
        <item x="51"/>
        <item x="1"/>
        <item x="122"/>
        <item x="161"/>
        <item x="109"/>
        <item x="117"/>
        <item x="155"/>
        <item x="169"/>
        <item x="74"/>
        <item x="112"/>
        <item x="105"/>
        <item x="69"/>
        <item x="110"/>
        <item x="144"/>
        <item x="101"/>
        <item x="53"/>
        <item x="5"/>
        <item x="63"/>
        <item x="176"/>
        <item x="44"/>
        <item x="48"/>
        <item x="193"/>
        <item x="50"/>
        <item x="138"/>
        <item x="139"/>
        <item x="165"/>
        <item x="7"/>
        <item x="39"/>
        <item x="188"/>
        <item x="114"/>
        <item x="102"/>
        <item x="151"/>
        <item x="27"/>
        <item x="35"/>
        <item x="183"/>
        <item x="150"/>
        <item x="180"/>
        <item x="195"/>
        <item x="41"/>
        <item x="8"/>
        <item x="111"/>
        <item x="164"/>
        <item x="170"/>
        <item x="62"/>
        <item x="91"/>
        <item x="198"/>
        <item x="24"/>
        <item x="181"/>
        <item x="156"/>
        <item x="9"/>
        <item x="103"/>
        <item x="187"/>
        <item x="197"/>
        <item x="43"/>
        <item x="163"/>
        <item x="167"/>
        <item x="159"/>
        <item x="171"/>
        <item x="118"/>
        <item x="81"/>
        <item x="37"/>
        <item x="34"/>
        <item x="194"/>
        <item x="134"/>
        <item x="40"/>
        <item x="104"/>
        <item x="61"/>
        <item x="66"/>
        <item x="56"/>
        <item x="137"/>
        <item x="82"/>
        <item x="73"/>
        <item x="55"/>
        <item x="124"/>
        <item x="84"/>
        <item x="126"/>
        <item x="77"/>
        <item x="143"/>
        <item x="15"/>
        <item x="116"/>
        <item x="158"/>
        <item x="121"/>
        <item x="120"/>
        <item x="174"/>
        <item x="135"/>
        <item x="31"/>
        <item x="36"/>
        <item x="148"/>
        <item x="78"/>
        <item x="54"/>
        <item x="154"/>
        <item x="129"/>
        <item x="20"/>
        <item x="94"/>
        <item x="67"/>
        <item x="172"/>
        <item x="196"/>
        <item x="14"/>
        <item x="178"/>
        <item x="49"/>
        <item x="146"/>
        <item x="149"/>
        <item x="133"/>
        <item x="192"/>
        <item x="140"/>
        <item x="30"/>
        <item x="160"/>
        <item x="136"/>
        <item x="115"/>
        <item x="177"/>
        <item x="11"/>
        <item x="157"/>
        <item x="58"/>
        <item x="4"/>
        <item x="21"/>
        <item x="100"/>
        <item x="16"/>
        <item x="186"/>
        <item x="93"/>
        <item x="47"/>
        <item x="45"/>
        <item x="2"/>
        <item x="70"/>
        <item x="97"/>
        <item x="119"/>
        <item x="130"/>
        <item x="95"/>
        <item x="141"/>
        <item x="179"/>
        <item x="75"/>
        <item x="22"/>
        <item x="153"/>
        <item x="132"/>
        <item x="147"/>
        <item x="23"/>
        <item x="59"/>
        <item x="60"/>
        <item x="92"/>
        <item x="38"/>
        <item x="125"/>
        <item x="89"/>
        <item x="131"/>
        <item x="76"/>
        <item x="152"/>
        <item x="72"/>
        <item x="17"/>
        <item x="190"/>
        <item x="142"/>
        <item x="79"/>
        <item x="168"/>
        <item x="3"/>
        <item x="83"/>
        <item x="185"/>
        <item x="25"/>
        <item x="85"/>
        <item x="107"/>
        <item x="184"/>
        <item x="64"/>
        <item x="10"/>
        <item x="99"/>
        <item x="33"/>
        <item x="88"/>
        <item x="166"/>
        <item x="175"/>
        <item x="145"/>
        <item x="173"/>
        <item x="113"/>
        <item x="128"/>
        <item x="98"/>
        <item x="18"/>
        <item x="90"/>
        <item x="71"/>
        <item x="87"/>
        <item x="0"/>
        <item t="default"/>
      </items>
    </pivotField>
    <pivotField showAll="0" defaultSubtotal="0">
      <items count="6">
        <item x="0"/>
        <item x="1"/>
        <item x="2"/>
        <item x="3"/>
        <item x="4"/>
        <item x="5"/>
      </items>
    </pivotField>
    <pivotField showAll="0" defaultSubtotal="0">
      <items count="5">
        <item x="0"/>
        <item x="1"/>
        <item x="2"/>
        <item x="3"/>
        <item x="4"/>
      </items>
    </pivotField>
  </pivotFields>
  <rowFields count="1">
    <field x="3"/>
  </rowFields>
  <rowItems count="8">
    <i>
      <x/>
    </i>
    <i>
      <x v="1"/>
    </i>
    <i>
      <x v="2"/>
    </i>
    <i>
      <x v="3"/>
    </i>
    <i>
      <x v="4"/>
    </i>
    <i>
      <x v="5"/>
    </i>
    <i>
      <x v="6"/>
    </i>
    <i t="grand">
      <x/>
    </i>
  </rowItems>
  <colItems count="1">
    <i/>
  </colItems>
  <dataFields count="1">
    <dataField name="Sum of Total Price" fld="17" baseField="3" baseItem="0" numFmtId="16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location ref="A3:B10" firstHeaderRow="1" firstDataRow="1" firstDataCol="1"/>
  <pivotFields count="20">
    <pivotField showAll="0"/>
    <pivotField numFmtId="164" showAll="0"/>
    <pivotField showAll="0"/>
    <pivotField showAll="0"/>
    <pivotField showAll="0"/>
    <pivotField numFmtId="165" showAll="0"/>
    <pivotField showAll="0"/>
    <pivotField showAll="0"/>
    <pivotField numFmtId="10" showAll="0"/>
    <pivotField axis="axisRow" showAll="0">
      <items count="7">
        <item x="1"/>
        <item x="5"/>
        <item x="3"/>
        <item x="4"/>
        <item x="0"/>
        <item x="2"/>
        <item t="default"/>
      </items>
    </pivotField>
    <pivotField showAll="0"/>
    <pivotField showAll="0"/>
    <pivotField showAll="0"/>
    <pivotField numFmtId="165" showAll="0"/>
    <pivotField numFmtId="14" showAll="0">
      <items count="15">
        <item x="0"/>
        <item x="1"/>
        <item x="2"/>
        <item x="3"/>
        <item x="4"/>
        <item x="5"/>
        <item x="6"/>
        <item x="7"/>
        <item x="8"/>
        <item x="9"/>
        <item x="10"/>
        <item x="11"/>
        <item x="12"/>
        <item x="13"/>
        <item t="default"/>
      </items>
    </pivotField>
    <pivotField numFmtId="14" showAll="0"/>
    <pivotField showAll="0"/>
    <pivotField dataField="1" showAll="0">
      <items count="200">
        <item x="162"/>
        <item x="26"/>
        <item x="123"/>
        <item x="6"/>
        <item x="12"/>
        <item x="127"/>
        <item x="106"/>
        <item x="28"/>
        <item x="182"/>
        <item x="68"/>
        <item x="13"/>
        <item x="65"/>
        <item x="86"/>
        <item x="52"/>
        <item x="189"/>
        <item x="96"/>
        <item x="80"/>
        <item x="46"/>
        <item x="32"/>
        <item x="19"/>
        <item x="191"/>
        <item x="42"/>
        <item x="29"/>
        <item x="57"/>
        <item x="108"/>
        <item x="51"/>
        <item x="1"/>
        <item x="122"/>
        <item x="161"/>
        <item x="109"/>
        <item x="117"/>
        <item x="155"/>
        <item x="169"/>
        <item x="74"/>
        <item x="112"/>
        <item x="105"/>
        <item x="69"/>
        <item x="110"/>
        <item x="144"/>
        <item x="101"/>
        <item x="53"/>
        <item x="5"/>
        <item x="63"/>
        <item x="176"/>
        <item x="44"/>
        <item x="48"/>
        <item x="193"/>
        <item x="50"/>
        <item x="138"/>
        <item x="139"/>
        <item x="165"/>
        <item x="7"/>
        <item x="39"/>
        <item x="188"/>
        <item x="114"/>
        <item x="102"/>
        <item x="151"/>
        <item x="27"/>
        <item x="35"/>
        <item x="183"/>
        <item x="150"/>
        <item x="180"/>
        <item x="195"/>
        <item x="41"/>
        <item x="8"/>
        <item x="111"/>
        <item x="164"/>
        <item x="170"/>
        <item x="62"/>
        <item x="91"/>
        <item x="198"/>
        <item x="24"/>
        <item x="181"/>
        <item x="156"/>
        <item x="9"/>
        <item x="103"/>
        <item x="187"/>
        <item x="197"/>
        <item x="43"/>
        <item x="163"/>
        <item x="167"/>
        <item x="159"/>
        <item x="171"/>
        <item x="118"/>
        <item x="81"/>
        <item x="37"/>
        <item x="34"/>
        <item x="194"/>
        <item x="134"/>
        <item x="40"/>
        <item x="104"/>
        <item x="61"/>
        <item x="66"/>
        <item x="56"/>
        <item x="137"/>
        <item x="82"/>
        <item x="73"/>
        <item x="55"/>
        <item x="124"/>
        <item x="84"/>
        <item x="126"/>
        <item x="77"/>
        <item x="143"/>
        <item x="15"/>
        <item x="116"/>
        <item x="158"/>
        <item x="121"/>
        <item x="120"/>
        <item x="174"/>
        <item x="135"/>
        <item x="31"/>
        <item x="36"/>
        <item x="148"/>
        <item x="78"/>
        <item x="54"/>
        <item x="154"/>
        <item x="129"/>
        <item x="20"/>
        <item x="94"/>
        <item x="67"/>
        <item x="172"/>
        <item x="196"/>
        <item x="14"/>
        <item x="178"/>
        <item x="49"/>
        <item x="146"/>
        <item x="149"/>
        <item x="133"/>
        <item x="192"/>
        <item x="140"/>
        <item x="30"/>
        <item x="160"/>
        <item x="136"/>
        <item x="115"/>
        <item x="177"/>
        <item x="11"/>
        <item x="157"/>
        <item x="58"/>
        <item x="4"/>
        <item x="21"/>
        <item x="100"/>
        <item x="16"/>
        <item x="186"/>
        <item x="93"/>
        <item x="47"/>
        <item x="45"/>
        <item x="2"/>
        <item x="70"/>
        <item x="97"/>
        <item x="119"/>
        <item x="130"/>
        <item x="95"/>
        <item x="141"/>
        <item x="179"/>
        <item x="75"/>
        <item x="22"/>
        <item x="153"/>
        <item x="132"/>
        <item x="147"/>
        <item x="23"/>
        <item x="59"/>
        <item x="60"/>
        <item x="92"/>
        <item x="38"/>
        <item x="125"/>
        <item x="89"/>
        <item x="131"/>
        <item x="76"/>
        <item x="152"/>
        <item x="72"/>
        <item x="17"/>
        <item x="190"/>
        <item x="142"/>
        <item x="79"/>
        <item x="168"/>
        <item x="3"/>
        <item x="83"/>
        <item x="185"/>
        <item x="25"/>
        <item x="85"/>
        <item x="107"/>
        <item x="184"/>
        <item x="64"/>
        <item x="10"/>
        <item x="99"/>
        <item x="33"/>
        <item x="88"/>
        <item x="166"/>
        <item x="175"/>
        <item x="145"/>
        <item x="173"/>
        <item x="113"/>
        <item x="128"/>
        <item x="98"/>
        <item x="18"/>
        <item x="90"/>
        <item x="71"/>
        <item x="87"/>
        <item x="0"/>
        <item t="default"/>
      </items>
    </pivotField>
    <pivotField showAll="0" defaultSubtotal="0">
      <items count="6">
        <item x="0"/>
        <item x="1"/>
        <item x="2"/>
        <item x="3"/>
        <item x="4"/>
        <item x="5"/>
      </items>
    </pivotField>
    <pivotField showAll="0" defaultSubtotal="0">
      <items count="5">
        <item x="0"/>
        <item x="1"/>
        <item x="2"/>
        <item x="3"/>
        <item x="4"/>
      </items>
    </pivotField>
  </pivotFields>
  <rowFields count="1">
    <field x="9"/>
  </rowFields>
  <rowItems count="7">
    <i>
      <x/>
    </i>
    <i>
      <x v="1"/>
    </i>
    <i>
      <x v="2"/>
    </i>
    <i>
      <x v="3"/>
    </i>
    <i>
      <x v="4"/>
    </i>
    <i>
      <x v="5"/>
    </i>
    <i t="grand">
      <x/>
    </i>
  </rowItems>
  <colItems count="1">
    <i/>
  </colItems>
  <dataFields count="1">
    <dataField name="Sum of Total Price" fld="17" baseField="9" baseItem="0" numFmtId="16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B28" firstHeaderRow="1" firstDataRow="1" firstDataCol="1"/>
  <pivotFields count="20">
    <pivotField showAll="0"/>
    <pivotField numFmtId="164" showAll="0">
      <items count="173">
        <item x="82"/>
        <item x="7"/>
        <item x="6"/>
        <item x="57"/>
        <item x="151"/>
        <item x="162"/>
        <item x="70"/>
        <item x="169"/>
        <item x="0"/>
        <item x="16"/>
        <item x="21"/>
        <item x="141"/>
        <item x="122"/>
        <item x="49"/>
        <item x="132"/>
        <item x="127"/>
        <item x="88"/>
        <item x="32"/>
        <item x="154"/>
        <item x="171"/>
        <item x="134"/>
        <item x="28"/>
        <item x="2"/>
        <item x="140"/>
        <item x="42"/>
        <item x="56"/>
        <item x="147"/>
        <item x="81"/>
        <item x="126"/>
        <item x="38"/>
        <item x="60"/>
        <item x="116"/>
        <item x="19"/>
        <item x="4"/>
        <item x="161"/>
        <item x="43"/>
        <item x="123"/>
        <item x="12"/>
        <item x="97"/>
        <item x="41"/>
        <item x="74"/>
        <item x="65"/>
        <item x="23"/>
        <item x="128"/>
        <item x="39"/>
        <item x="139"/>
        <item x="34"/>
        <item x="121"/>
        <item x="76"/>
        <item x="100"/>
        <item x="64"/>
        <item x="101"/>
        <item x="90"/>
        <item x="72"/>
        <item x="25"/>
        <item x="71"/>
        <item x="86"/>
        <item x="168"/>
        <item x="165"/>
        <item x="18"/>
        <item x="112"/>
        <item x="63"/>
        <item x="77"/>
        <item x="146"/>
        <item x="78"/>
        <item x="150"/>
        <item x="52"/>
        <item x="46"/>
        <item x="73"/>
        <item x="115"/>
        <item x="145"/>
        <item x="113"/>
        <item x="109"/>
        <item x="144"/>
        <item x="30"/>
        <item x="37"/>
        <item x="79"/>
        <item x="22"/>
        <item x="5"/>
        <item x="143"/>
        <item x="62"/>
        <item x="152"/>
        <item x="69"/>
        <item x="114"/>
        <item x="47"/>
        <item x="107"/>
        <item x="138"/>
        <item x="58"/>
        <item x="124"/>
        <item x="105"/>
        <item x="10"/>
        <item x="164"/>
        <item x="53"/>
        <item x="93"/>
        <item x="131"/>
        <item x="80"/>
        <item x="125"/>
        <item x="24"/>
        <item x="96"/>
        <item x="17"/>
        <item x="44"/>
        <item x="40"/>
        <item x="163"/>
        <item x="104"/>
        <item x="160"/>
        <item x="99"/>
        <item x="156"/>
        <item x="11"/>
        <item x="106"/>
        <item x="118"/>
        <item x="117"/>
        <item x="111"/>
        <item x="157"/>
        <item x="142"/>
        <item x="98"/>
        <item x="48"/>
        <item x="51"/>
        <item x="129"/>
        <item x="8"/>
        <item x="75"/>
        <item x="158"/>
        <item x="137"/>
        <item x="67"/>
        <item x="85"/>
        <item x="27"/>
        <item x="29"/>
        <item x="14"/>
        <item x="167"/>
        <item x="1"/>
        <item x="133"/>
        <item x="66"/>
        <item x="87"/>
        <item x="50"/>
        <item x="13"/>
        <item x="135"/>
        <item x="59"/>
        <item x="94"/>
        <item x="170"/>
        <item x="45"/>
        <item x="149"/>
        <item x="130"/>
        <item x="3"/>
        <item x="89"/>
        <item x="155"/>
        <item x="9"/>
        <item x="55"/>
        <item x="31"/>
        <item x="68"/>
        <item x="95"/>
        <item x="35"/>
        <item x="61"/>
        <item x="166"/>
        <item x="136"/>
        <item x="159"/>
        <item x="91"/>
        <item x="110"/>
        <item x="108"/>
        <item x="33"/>
        <item x="15"/>
        <item x="92"/>
        <item x="120"/>
        <item x="83"/>
        <item x="84"/>
        <item x="20"/>
        <item x="119"/>
        <item x="102"/>
        <item x="54"/>
        <item x="103"/>
        <item x="26"/>
        <item x="36"/>
        <item x="153"/>
        <item x="148"/>
        <item t="default"/>
      </items>
    </pivotField>
    <pivotField showAll="0">
      <items count="6">
        <item x="3"/>
        <item h="1" x="0"/>
        <item h="1" x="2"/>
        <item h="1" x="1"/>
        <item h="1" x="4"/>
        <item t="default"/>
      </items>
    </pivotField>
    <pivotField showAll="0">
      <items count="8">
        <item x="3"/>
        <item x="2"/>
        <item x="0"/>
        <item x="4"/>
        <item x="1"/>
        <item x="6"/>
        <item x="5"/>
        <item t="default"/>
      </items>
    </pivotField>
    <pivotField showAll="0"/>
    <pivotField numFmtId="165" showAll="0"/>
    <pivotField showAll="0"/>
    <pivotField showAll="0">
      <items count="3">
        <item x="1"/>
        <item h="1" x="0"/>
        <item t="default"/>
      </items>
    </pivotField>
    <pivotField numFmtId="10" showAll="0"/>
    <pivotField showAll="0"/>
    <pivotField showAll="0">
      <items count="6">
        <item x="4"/>
        <item x="2"/>
        <item x="3"/>
        <item x="1"/>
        <item x="0"/>
        <item t="default"/>
      </items>
    </pivotField>
    <pivotField showAll="0">
      <items count="3">
        <item x="0"/>
        <item h="1" x="1"/>
        <item t="default"/>
      </items>
    </pivotField>
    <pivotField showAll="0"/>
    <pivotField numFmtId="165" showAll="0"/>
    <pivotField axis="axisRow" numFmtId="14" showAll="0">
      <items count="15">
        <item x="0"/>
        <item x="1"/>
        <item x="2"/>
        <item x="3"/>
        <item x="4"/>
        <item x="5"/>
        <item x="6"/>
        <item x="7"/>
        <item x="8"/>
        <item x="9"/>
        <item x="10"/>
        <item x="11"/>
        <item x="12"/>
        <item x="13"/>
        <item t="default"/>
      </items>
    </pivotField>
    <pivotField numFmtId="14" showAll="0"/>
    <pivotField showAll="0"/>
    <pivotField dataField="1" showAll="0">
      <items count="200">
        <item x="162"/>
        <item x="26"/>
        <item x="123"/>
        <item x="6"/>
        <item x="12"/>
        <item x="127"/>
        <item x="106"/>
        <item x="28"/>
        <item x="182"/>
        <item x="68"/>
        <item x="13"/>
        <item x="65"/>
        <item x="86"/>
        <item x="52"/>
        <item x="189"/>
        <item x="96"/>
        <item x="80"/>
        <item x="46"/>
        <item x="32"/>
        <item x="19"/>
        <item x="191"/>
        <item x="42"/>
        <item x="29"/>
        <item x="57"/>
        <item x="108"/>
        <item x="51"/>
        <item x="1"/>
        <item x="122"/>
        <item x="161"/>
        <item x="109"/>
        <item x="117"/>
        <item x="155"/>
        <item x="169"/>
        <item x="74"/>
        <item x="112"/>
        <item x="105"/>
        <item x="69"/>
        <item x="110"/>
        <item x="144"/>
        <item x="101"/>
        <item x="53"/>
        <item x="5"/>
        <item x="63"/>
        <item x="176"/>
        <item x="44"/>
        <item x="48"/>
        <item x="193"/>
        <item x="50"/>
        <item x="138"/>
        <item x="139"/>
        <item x="165"/>
        <item x="7"/>
        <item x="39"/>
        <item x="188"/>
        <item x="114"/>
        <item x="102"/>
        <item x="151"/>
        <item x="27"/>
        <item x="35"/>
        <item x="183"/>
        <item x="150"/>
        <item x="180"/>
        <item x="195"/>
        <item x="41"/>
        <item x="8"/>
        <item x="111"/>
        <item x="164"/>
        <item x="170"/>
        <item x="62"/>
        <item x="91"/>
        <item x="198"/>
        <item x="24"/>
        <item x="181"/>
        <item x="156"/>
        <item x="9"/>
        <item x="103"/>
        <item x="187"/>
        <item x="197"/>
        <item x="43"/>
        <item x="163"/>
        <item x="167"/>
        <item x="159"/>
        <item x="171"/>
        <item x="118"/>
        <item x="81"/>
        <item x="37"/>
        <item x="34"/>
        <item x="194"/>
        <item x="134"/>
        <item x="40"/>
        <item x="104"/>
        <item x="61"/>
        <item x="66"/>
        <item x="56"/>
        <item x="137"/>
        <item x="82"/>
        <item x="73"/>
        <item x="55"/>
        <item x="124"/>
        <item x="84"/>
        <item x="126"/>
        <item x="77"/>
        <item x="143"/>
        <item x="15"/>
        <item x="116"/>
        <item x="158"/>
        <item x="121"/>
        <item x="120"/>
        <item x="174"/>
        <item x="135"/>
        <item x="31"/>
        <item x="36"/>
        <item x="148"/>
        <item x="78"/>
        <item x="54"/>
        <item x="154"/>
        <item x="129"/>
        <item x="20"/>
        <item x="94"/>
        <item x="67"/>
        <item x="172"/>
        <item x="196"/>
        <item x="14"/>
        <item x="178"/>
        <item x="49"/>
        <item x="146"/>
        <item x="149"/>
        <item x="133"/>
        <item x="192"/>
        <item x="140"/>
        <item x="30"/>
        <item x="160"/>
        <item x="136"/>
        <item x="115"/>
        <item x="177"/>
        <item x="11"/>
        <item x="157"/>
        <item x="58"/>
        <item x="4"/>
        <item x="21"/>
        <item x="100"/>
        <item x="16"/>
        <item x="186"/>
        <item x="93"/>
        <item x="47"/>
        <item x="45"/>
        <item x="2"/>
        <item x="70"/>
        <item x="97"/>
        <item x="119"/>
        <item x="130"/>
        <item x="95"/>
        <item x="141"/>
        <item x="179"/>
        <item x="75"/>
        <item x="22"/>
        <item x="153"/>
        <item x="132"/>
        <item x="147"/>
        <item x="23"/>
        <item x="59"/>
        <item x="60"/>
        <item x="92"/>
        <item x="38"/>
        <item x="125"/>
        <item x="89"/>
        <item x="131"/>
        <item x="76"/>
        <item x="152"/>
        <item x="72"/>
        <item x="17"/>
        <item x="190"/>
        <item x="142"/>
        <item x="79"/>
        <item x="168"/>
        <item x="3"/>
        <item x="83"/>
        <item x="185"/>
        <item x="25"/>
        <item x="85"/>
        <item x="107"/>
        <item x="184"/>
        <item x="64"/>
        <item x="10"/>
        <item x="99"/>
        <item x="33"/>
        <item x="88"/>
        <item x="166"/>
        <item x="175"/>
        <item x="145"/>
        <item x="173"/>
        <item x="113"/>
        <item x="128"/>
        <item x="98"/>
        <item x="18"/>
        <item x="90"/>
        <item x="71"/>
        <item x="87"/>
        <item x="0"/>
        <item t="default"/>
      </items>
    </pivotField>
    <pivotField axis="axisRow" showAll="0" defaultSubtotal="0">
      <items count="6">
        <item x="0"/>
        <item x="1"/>
        <item x="2"/>
        <item x="3"/>
        <item x="4"/>
        <item x="5"/>
      </items>
    </pivotField>
    <pivotField axis="axisRow" showAll="0" defaultSubtotal="0">
      <items count="5">
        <item x="0"/>
        <item x="1"/>
        <item x="2"/>
        <item x="3"/>
        <item x="4"/>
      </items>
    </pivotField>
  </pivotFields>
  <rowFields count="3">
    <field x="19"/>
    <field x="18"/>
    <field x="14"/>
  </rowFields>
  <rowItems count="25">
    <i>
      <x v="1"/>
    </i>
    <i r="1">
      <x v="2"/>
    </i>
    <i r="2">
      <x v="4"/>
    </i>
    <i r="2">
      <x v="6"/>
    </i>
    <i r="1">
      <x v="3"/>
    </i>
    <i r="2">
      <x v="7"/>
    </i>
    <i r="2">
      <x v="8"/>
    </i>
    <i r="1">
      <x v="4"/>
    </i>
    <i r="2">
      <x v="10"/>
    </i>
    <i>
      <x v="2"/>
    </i>
    <i r="1">
      <x v="1"/>
    </i>
    <i r="2">
      <x v="1"/>
    </i>
    <i r="2">
      <x v="2"/>
    </i>
    <i r="2">
      <x v="3"/>
    </i>
    <i r="1">
      <x v="2"/>
    </i>
    <i r="2">
      <x v="5"/>
    </i>
    <i r="1">
      <x v="3"/>
    </i>
    <i r="2">
      <x v="7"/>
    </i>
    <i>
      <x v="3"/>
    </i>
    <i r="1">
      <x v="1"/>
    </i>
    <i r="2">
      <x v="2"/>
    </i>
    <i r="2">
      <x v="3"/>
    </i>
    <i r="1">
      <x v="2"/>
    </i>
    <i r="2">
      <x v="4"/>
    </i>
    <i t="grand">
      <x/>
    </i>
  </rowItems>
  <colItems count="1">
    <i/>
  </colItems>
  <dataFields count="1">
    <dataField name="Sum of Total Price" fld="17" baseField="14" baseItem="0" numFmtId="165"/>
  </dataFields>
  <chartFormats count="2">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5" name="PivotTable4"/>
  </pivotTables>
  <data>
    <tabular pivotCacheId="1">
      <items count="5">
        <i x="3" s="1"/>
        <i x="0"/>
        <i x="2"/>
        <i x="1"/>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5" name="PivotTable4"/>
  </pivotTables>
  <data>
    <tabular pivotCacheId="1">
      <items count="7">
        <i x="3" s="1"/>
        <i x="2" s="1"/>
        <i x="0" s="1"/>
        <i x="4" s="1"/>
        <i x="1" s="1"/>
        <i x="6"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ustomerType" sourceName="CustomerType">
  <pivotTables>
    <pivotTable tabId="5" name="PivotTable4"/>
  </pivotTables>
  <data>
    <tabular pivotCacheId="1">
      <items count="2">
        <i x="1" s="1"/>
        <i x="0"/>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PaymentMethod" sourceName="PaymentMethod">
  <pivotTables>
    <pivotTable tabId="5" name="PivotTable4"/>
  </pivotTables>
  <data>
    <tabular pivotCacheId="1">
      <items count="5">
        <i x="4" s="1"/>
        <i x="2" s="1"/>
        <i x="3"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Returned" sourceName="Returned">
  <pivotTables>
    <pivotTable tabId="5" name="PivotTable4"/>
  </pivotTables>
  <data>
    <tabular pivotCacheId="1">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34950"/>
  <slicer name="Product" cache="Slicer_Product" caption="Product" rowHeight="234950"/>
  <slicer name="CustomerType" cache="Slicer_CustomerType" caption="CustomerType" rowHeight="234950"/>
  <slicer name="PaymentMethod" cache="Slicer_PaymentMethod" caption="PaymentMethod" rowHeight="234950"/>
  <slicer name="Returned" cache="Slicer_Returned" caption="Returned"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1.bin"/><Relationship Id="rId1" Type="http://schemas.openxmlformats.org/officeDocument/2006/relationships/pivotTable" Target="../pivotTables/pivotTable4.xml"/><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B5" sqref="B5"/>
    </sheetView>
  </sheetViews>
  <sheetFormatPr defaultRowHeight="14.4" x14ac:dyDescent="0.3"/>
  <cols>
    <col min="1" max="1" width="12.5546875" customWidth="1"/>
    <col min="2" max="2" width="16.33203125" customWidth="1"/>
  </cols>
  <sheetData>
    <row r="3" spans="1:2" x14ac:dyDescent="0.3">
      <c r="A3" s="14" t="s">
        <v>449</v>
      </c>
      <c r="B3" t="s">
        <v>451</v>
      </c>
    </row>
    <row r="4" spans="1:2" x14ac:dyDescent="0.3">
      <c r="A4" s="15" t="s">
        <v>20</v>
      </c>
      <c r="B4" s="3">
        <v>144421.23999999996</v>
      </c>
    </row>
    <row r="5" spans="1:2" x14ac:dyDescent="0.3">
      <c r="A5" s="15" t="s">
        <v>17</v>
      </c>
      <c r="B5" s="3">
        <v>127713.46000000002</v>
      </c>
    </row>
    <row r="6" spans="1:2" x14ac:dyDescent="0.3">
      <c r="A6" s="15" t="s">
        <v>19</v>
      </c>
      <c r="B6" s="3">
        <v>147050.02999999997</v>
      </c>
    </row>
    <row r="7" spans="1:2" x14ac:dyDescent="0.3">
      <c r="A7" s="15" t="s">
        <v>18</v>
      </c>
      <c r="B7" s="3">
        <v>114976.80999999997</v>
      </c>
    </row>
    <row r="8" spans="1:2" x14ac:dyDescent="0.3">
      <c r="A8" s="15" t="s">
        <v>21</v>
      </c>
      <c r="B8" s="3">
        <v>109654.69</v>
      </c>
    </row>
    <row r="9" spans="1:2" x14ac:dyDescent="0.3">
      <c r="A9" s="15" t="s">
        <v>450</v>
      </c>
      <c r="B9" s="3">
        <v>643816.23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1"/>
  <sheetViews>
    <sheetView workbookViewId="0">
      <selection activeCell="B3" sqref="B3"/>
    </sheetView>
  </sheetViews>
  <sheetFormatPr defaultRowHeight="14.4" x14ac:dyDescent="0.3"/>
  <cols>
    <col min="1" max="1" width="12.5546875" customWidth="1"/>
    <col min="2" max="2" width="16.33203125" customWidth="1"/>
  </cols>
  <sheetData>
    <row r="3" spans="1:2" x14ac:dyDescent="0.3">
      <c r="A3" s="14" t="s">
        <v>449</v>
      </c>
      <c r="B3" t="s">
        <v>451</v>
      </c>
    </row>
    <row r="4" spans="1:2" x14ac:dyDescent="0.3">
      <c r="A4" s="15" t="s">
        <v>25</v>
      </c>
      <c r="B4" s="3">
        <v>98983.170000000027</v>
      </c>
    </row>
    <row r="5" spans="1:2" x14ac:dyDescent="0.3">
      <c r="A5" s="15" t="s">
        <v>24</v>
      </c>
      <c r="B5" s="3">
        <v>99464.540000000008</v>
      </c>
    </row>
    <row r="6" spans="1:2" x14ac:dyDescent="0.3">
      <c r="A6" s="15" t="s">
        <v>22</v>
      </c>
      <c r="B6" s="3">
        <v>123832.39000000001</v>
      </c>
    </row>
    <row r="7" spans="1:2" x14ac:dyDescent="0.3">
      <c r="A7" s="15" t="s">
        <v>26</v>
      </c>
      <c r="B7" s="3">
        <v>65457.009999999987</v>
      </c>
    </row>
    <row r="8" spans="1:2" x14ac:dyDescent="0.3">
      <c r="A8" s="15" t="s">
        <v>23</v>
      </c>
      <c r="B8" s="3">
        <v>81497.950000000012</v>
      </c>
    </row>
    <row r="9" spans="1:2" x14ac:dyDescent="0.3">
      <c r="A9" s="15" t="s">
        <v>28</v>
      </c>
      <c r="B9" s="3">
        <v>78560.820000000007</v>
      </c>
    </row>
    <row r="10" spans="1:2" x14ac:dyDescent="0.3">
      <c r="A10" s="15" t="s">
        <v>27</v>
      </c>
      <c r="B10" s="3">
        <v>96020.35</v>
      </c>
    </row>
    <row r="11" spans="1:2" x14ac:dyDescent="0.3">
      <c r="A11" s="15" t="s">
        <v>450</v>
      </c>
      <c r="B11" s="3">
        <v>643816.2300000001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0"/>
  <sheetViews>
    <sheetView workbookViewId="0">
      <selection activeCell="B5" sqref="B5"/>
    </sheetView>
  </sheetViews>
  <sheetFormatPr defaultRowHeight="14.4" x14ac:dyDescent="0.3"/>
  <cols>
    <col min="1" max="1" width="12.5546875" customWidth="1"/>
    <col min="2" max="2" width="16.33203125" customWidth="1"/>
  </cols>
  <sheetData>
    <row r="3" spans="1:2" x14ac:dyDescent="0.3">
      <c r="A3" s="14" t="s">
        <v>449</v>
      </c>
      <c r="B3" t="s">
        <v>451</v>
      </c>
    </row>
    <row r="4" spans="1:2" x14ac:dyDescent="0.3">
      <c r="A4" s="15" t="s">
        <v>36</v>
      </c>
      <c r="B4" s="3">
        <v>115812.51000000004</v>
      </c>
    </row>
    <row r="5" spans="1:2" x14ac:dyDescent="0.3">
      <c r="A5" s="15" t="s">
        <v>40</v>
      </c>
      <c r="B5" s="3">
        <v>151079.74999999997</v>
      </c>
    </row>
    <row r="6" spans="1:2" x14ac:dyDescent="0.3">
      <c r="A6" s="15" t="s">
        <v>38</v>
      </c>
      <c r="B6" s="3">
        <v>116860.39</v>
      </c>
    </row>
    <row r="7" spans="1:2" x14ac:dyDescent="0.3">
      <c r="A7" s="15" t="s">
        <v>39</v>
      </c>
      <c r="B7" s="3">
        <v>64926.479999999989</v>
      </c>
    </row>
    <row r="8" spans="1:2" x14ac:dyDescent="0.3">
      <c r="A8" s="15" t="s">
        <v>35</v>
      </c>
      <c r="B8" s="3">
        <v>95534.059999999983</v>
      </c>
    </row>
    <row r="9" spans="1:2" x14ac:dyDescent="0.3">
      <c r="A9" s="15" t="s">
        <v>37</v>
      </c>
      <c r="B9" s="3">
        <v>99603.04</v>
      </c>
    </row>
    <row r="10" spans="1:2" x14ac:dyDescent="0.3">
      <c r="A10" s="15" t="s">
        <v>450</v>
      </c>
      <c r="B10" s="3">
        <v>643816.23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8"/>
  <sheetViews>
    <sheetView tabSelected="1" zoomScaleNormal="100" workbookViewId="0">
      <selection activeCell="O16" sqref="O15:P16"/>
    </sheetView>
  </sheetViews>
  <sheetFormatPr defaultRowHeight="14.4" x14ac:dyDescent="0.3"/>
  <cols>
    <col min="1" max="1" width="12.5546875" customWidth="1"/>
    <col min="2" max="2" width="16.33203125" customWidth="1"/>
  </cols>
  <sheetData>
    <row r="3" spans="1:2" x14ac:dyDescent="0.3">
      <c r="A3" s="14" t="s">
        <v>449</v>
      </c>
      <c r="B3" t="s">
        <v>451</v>
      </c>
    </row>
    <row r="4" spans="1:2" x14ac:dyDescent="0.3">
      <c r="A4" s="15" t="s">
        <v>461</v>
      </c>
      <c r="B4" s="3"/>
    </row>
    <row r="5" spans="1:2" x14ac:dyDescent="0.3">
      <c r="A5" s="16" t="s">
        <v>463</v>
      </c>
      <c r="B5" s="3"/>
    </row>
    <row r="6" spans="1:2" x14ac:dyDescent="0.3">
      <c r="A6" s="17" t="s">
        <v>455</v>
      </c>
      <c r="B6" s="3">
        <v>8118.24</v>
      </c>
    </row>
    <row r="7" spans="1:2" x14ac:dyDescent="0.3">
      <c r="A7" s="17" t="s">
        <v>457</v>
      </c>
      <c r="B7" s="3">
        <v>3491.1800000000003</v>
      </c>
    </row>
    <row r="8" spans="1:2" x14ac:dyDescent="0.3">
      <c r="A8" s="16" t="s">
        <v>464</v>
      </c>
      <c r="B8" s="3"/>
    </row>
    <row r="9" spans="1:2" x14ac:dyDescent="0.3">
      <c r="A9" s="17" t="s">
        <v>458</v>
      </c>
      <c r="B9" s="3">
        <v>140.83000000000001</v>
      </c>
    </row>
    <row r="10" spans="1:2" x14ac:dyDescent="0.3">
      <c r="A10" s="17" t="s">
        <v>459</v>
      </c>
      <c r="B10" s="3">
        <v>10795.460000000001</v>
      </c>
    </row>
    <row r="11" spans="1:2" x14ac:dyDescent="0.3">
      <c r="A11" s="16" t="s">
        <v>465</v>
      </c>
      <c r="B11" s="3"/>
    </row>
    <row r="12" spans="1:2" x14ac:dyDescent="0.3">
      <c r="A12" s="17" t="s">
        <v>460</v>
      </c>
      <c r="B12" s="3">
        <v>222.07000000000002</v>
      </c>
    </row>
    <row r="13" spans="1:2" x14ac:dyDescent="0.3">
      <c r="A13" s="15" t="s">
        <v>466</v>
      </c>
      <c r="B13" s="3"/>
    </row>
    <row r="14" spans="1:2" x14ac:dyDescent="0.3">
      <c r="A14" s="16" t="s">
        <v>462</v>
      </c>
      <c r="B14" s="3"/>
    </row>
    <row r="15" spans="1:2" x14ac:dyDescent="0.3">
      <c r="A15" s="17" t="s">
        <v>452</v>
      </c>
      <c r="B15" s="3">
        <v>602.30000000000007</v>
      </c>
    </row>
    <row r="16" spans="1:2" x14ac:dyDescent="0.3">
      <c r="A16" s="17" t="s">
        <v>453</v>
      </c>
      <c r="B16" s="3">
        <v>785.35</v>
      </c>
    </row>
    <row r="17" spans="1:2" x14ac:dyDescent="0.3">
      <c r="A17" s="17" t="s">
        <v>454</v>
      </c>
      <c r="B17" s="3">
        <v>2833.65</v>
      </c>
    </row>
    <row r="18" spans="1:2" x14ac:dyDescent="0.3">
      <c r="A18" s="16" t="s">
        <v>463</v>
      </c>
      <c r="B18" s="3"/>
    </row>
    <row r="19" spans="1:2" x14ac:dyDescent="0.3">
      <c r="A19" s="17" t="s">
        <v>456</v>
      </c>
      <c r="B19" s="3">
        <v>8898.880000000001</v>
      </c>
    </row>
    <row r="20" spans="1:2" x14ac:dyDescent="0.3">
      <c r="A20" s="16" t="s">
        <v>464</v>
      </c>
      <c r="B20" s="3"/>
    </row>
    <row r="21" spans="1:2" x14ac:dyDescent="0.3">
      <c r="A21" s="17" t="s">
        <v>458</v>
      </c>
      <c r="B21" s="3">
        <v>2659.56</v>
      </c>
    </row>
    <row r="22" spans="1:2" x14ac:dyDescent="0.3">
      <c r="A22" s="15" t="s">
        <v>467</v>
      </c>
      <c r="B22" s="3"/>
    </row>
    <row r="23" spans="1:2" x14ac:dyDescent="0.3">
      <c r="A23" s="16" t="s">
        <v>462</v>
      </c>
      <c r="B23" s="3"/>
    </row>
    <row r="24" spans="1:2" x14ac:dyDescent="0.3">
      <c r="A24" s="17" t="s">
        <v>453</v>
      </c>
      <c r="B24" s="3">
        <v>1768.5</v>
      </c>
    </row>
    <row r="25" spans="1:2" x14ac:dyDescent="0.3">
      <c r="A25" s="17" t="s">
        <v>454</v>
      </c>
      <c r="B25" s="3">
        <v>13545.369999999999</v>
      </c>
    </row>
    <row r="26" spans="1:2" x14ac:dyDescent="0.3">
      <c r="A26" s="16" t="s">
        <v>463</v>
      </c>
      <c r="B26" s="3"/>
    </row>
    <row r="27" spans="1:2" x14ac:dyDescent="0.3">
      <c r="A27" s="17" t="s">
        <v>455</v>
      </c>
      <c r="B27" s="3">
        <v>2810.9100000000003</v>
      </c>
    </row>
    <row r="28" spans="1:2" x14ac:dyDescent="0.3">
      <c r="A28" s="15" t="s">
        <v>450</v>
      </c>
      <c r="B28" s="3">
        <v>56672.3</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502"/>
  <sheetViews>
    <sheetView topLeftCell="B1" workbookViewId="0">
      <selection activeCell="S1" sqref="S1"/>
    </sheetView>
  </sheetViews>
  <sheetFormatPr defaultRowHeight="14.4" x14ac:dyDescent="0.3"/>
  <cols>
    <col min="1" max="2" width="10.33203125" bestFit="1" customWidth="1"/>
    <col min="3" max="3" width="11.109375" customWidth="1"/>
    <col min="4" max="4" width="7.6640625" bestFit="1" customWidth="1"/>
    <col min="5" max="5" width="8.33203125" bestFit="1" customWidth="1"/>
    <col min="6" max="6" width="8.6640625" style="3" bestFit="1" customWidth="1"/>
    <col min="7" max="7" width="12.6640625" style="6" bestFit="1" customWidth="1"/>
    <col min="8" max="8" width="13.33203125" style="6" bestFit="1" customWidth="1"/>
    <col min="9" max="9" width="8.33203125" style="10" bestFit="1" customWidth="1"/>
    <col min="10" max="10" width="11" style="6" bestFit="1" customWidth="1"/>
    <col min="11" max="11" width="15.44140625" style="6" bestFit="1" customWidth="1"/>
    <col min="12" max="12" width="8.77734375" style="12" bestFit="1" customWidth="1"/>
    <col min="13" max="13" width="14.21875" style="6" bestFit="1" customWidth="1"/>
    <col min="14" max="14" width="12" style="3" bestFit="1" customWidth="1"/>
    <col min="15" max="15" width="10.5546875" style="8" bestFit="1" customWidth="1"/>
    <col min="16" max="16" width="11.6640625" style="8" bestFit="1" customWidth="1"/>
    <col min="17" max="17" width="14.44140625" style="6" bestFit="1" customWidth="1"/>
    <col min="18" max="18" width="10.5546875" customWidth="1"/>
  </cols>
  <sheetData>
    <row r="1" spans="1:18" x14ac:dyDescent="0.3">
      <c r="A1" s="4" t="s">
        <v>11</v>
      </c>
      <c r="B1" s="5" t="s">
        <v>0</v>
      </c>
      <c r="C1" s="4" t="s">
        <v>1</v>
      </c>
      <c r="D1" s="4" t="s">
        <v>2</v>
      </c>
      <c r="E1" s="5" t="s">
        <v>3</v>
      </c>
      <c r="F1" s="2" t="s">
        <v>4</v>
      </c>
      <c r="G1" s="4" t="s">
        <v>5</v>
      </c>
      <c r="H1" s="4" t="s">
        <v>6</v>
      </c>
      <c r="I1" s="9" t="s">
        <v>7</v>
      </c>
      <c r="J1" s="4" t="s">
        <v>8</v>
      </c>
      <c r="K1" s="4" t="s">
        <v>9</v>
      </c>
      <c r="L1" s="11" t="s">
        <v>10</v>
      </c>
      <c r="M1" s="4" t="s">
        <v>12</v>
      </c>
      <c r="N1" s="2" t="s">
        <v>13</v>
      </c>
      <c r="O1" s="7" t="s">
        <v>14</v>
      </c>
      <c r="P1" s="7" t="s">
        <v>15</v>
      </c>
      <c r="Q1" s="4" t="s">
        <v>16</v>
      </c>
      <c r="R1" s="13" t="s">
        <v>448</v>
      </c>
    </row>
    <row r="2" spans="1:18" x14ac:dyDescent="0.3">
      <c r="A2" t="s">
        <v>46</v>
      </c>
      <c r="B2" s="1">
        <v>44980</v>
      </c>
      <c r="C2" t="s">
        <v>17</v>
      </c>
      <c r="D2" t="s">
        <v>22</v>
      </c>
      <c r="E2">
        <v>14</v>
      </c>
      <c r="F2" s="3">
        <v>163.6</v>
      </c>
      <c r="G2" s="6" t="s">
        <v>29</v>
      </c>
      <c r="H2" s="6" t="s">
        <v>33</v>
      </c>
      <c r="I2" s="10">
        <v>0</v>
      </c>
      <c r="J2" s="6" t="s">
        <v>35</v>
      </c>
      <c r="K2" s="6" t="s">
        <v>41</v>
      </c>
      <c r="L2" s="12">
        <v>0</v>
      </c>
      <c r="M2" s="6" t="s">
        <v>245</v>
      </c>
      <c r="N2" s="3">
        <v>43.34</v>
      </c>
      <c r="O2" s="8">
        <v>44980</v>
      </c>
      <c r="P2" s="8">
        <v>44984</v>
      </c>
      <c r="Q2" s="6" t="s">
        <v>443</v>
      </c>
      <c r="R2" s="18">
        <f t="shared" ref="R2:R33" si="0">(E2*F2)-I2+N2</f>
        <v>2333.7400000000002</v>
      </c>
    </row>
    <row r="3" spans="1:18" x14ac:dyDescent="0.3">
      <c r="A3" t="s">
        <v>47</v>
      </c>
      <c r="B3" s="1">
        <v>45645</v>
      </c>
      <c r="C3" t="s">
        <v>18</v>
      </c>
      <c r="D3" t="s">
        <v>23</v>
      </c>
      <c r="E3">
        <v>1</v>
      </c>
      <c r="F3" s="3">
        <v>544.01</v>
      </c>
      <c r="G3" s="6" t="s">
        <v>30</v>
      </c>
      <c r="H3" s="6" t="s">
        <v>34</v>
      </c>
      <c r="I3" s="10">
        <v>0</v>
      </c>
      <c r="J3" s="6" t="s">
        <v>36</v>
      </c>
      <c r="K3" s="6" t="s">
        <v>42</v>
      </c>
      <c r="L3" s="12">
        <v>0</v>
      </c>
      <c r="M3" s="6" t="s">
        <v>246</v>
      </c>
      <c r="N3" s="3">
        <v>5.3</v>
      </c>
      <c r="O3" s="8">
        <v>45645</v>
      </c>
      <c r="P3" s="8">
        <v>45654</v>
      </c>
      <c r="Q3" s="6" t="s">
        <v>444</v>
      </c>
      <c r="R3" s="3">
        <f t="shared" si="0"/>
        <v>549.30999999999995</v>
      </c>
    </row>
    <row r="4" spans="1:18" x14ac:dyDescent="0.3">
      <c r="A4" t="s">
        <v>48</v>
      </c>
      <c r="B4" s="1">
        <v>45056</v>
      </c>
      <c r="C4" t="s">
        <v>19</v>
      </c>
      <c r="D4" t="s">
        <v>24</v>
      </c>
      <c r="E4">
        <v>14</v>
      </c>
      <c r="F4" s="3">
        <v>346.18</v>
      </c>
      <c r="G4" s="6" t="s">
        <v>29</v>
      </c>
      <c r="H4" s="6" t="s">
        <v>33</v>
      </c>
      <c r="I4" s="10">
        <v>0.1</v>
      </c>
      <c r="J4" s="6" t="s">
        <v>36</v>
      </c>
      <c r="K4" s="6" t="s">
        <v>41</v>
      </c>
      <c r="L4" s="12">
        <v>0</v>
      </c>
      <c r="M4" s="6" t="s">
        <v>247</v>
      </c>
      <c r="N4" s="3">
        <v>20.46</v>
      </c>
      <c r="O4" s="8">
        <v>45056</v>
      </c>
      <c r="P4" s="8">
        <v>45065</v>
      </c>
      <c r="Q4" s="6" t="s">
        <v>445</v>
      </c>
      <c r="R4" s="3">
        <f t="shared" si="0"/>
        <v>4866.88</v>
      </c>
    </row>
    <row r="5" spans="1:18" x14ac:dyDescent="0.3">
      <c r="A5" t="s">
        <v>49</v>
      </c>
      <c r="B5" s="1">
        <v>45714</v>
      </c>
      <c r="C5" t="s">
        <v>20</v>
      </c>
      <c r="D5" t="s">
        <v>25</v>
      </c>
      <c r="E5">
        <v>18</v>
      </c>
      <c r="F5" s="3">
        <v>384.82</v>
      </c>
      <c r="G5" s="6" t="s">
        <v>30</v>
      </c>
      <c r="H5" s="6" t="s">
        <v>33</v>
      </c>
      <c r="I5" s="10">
        <v>0.15</v>
      </c>
      <c r="J5" s="6" t="s">
        <v>37</v>
      </c>
      <c r="K5" s="6" t="s">
        <v>42</v>
      </c>
      <c r="L5" s="12">
        <v>0</v>
      </c>
      <c r="M5" s="6" t="s">
        <v>248</v>
      </c>
      <c r="N5" s="3">
        <v>27.95</v>
      </c>
      <c r="O5" s="8">
        <v>45714</v>
      </c>
      <c r="P5" s="8">
        <v>45718</v>
      </c>
      <c r="Q5" s="6" t="s">
        <v>446</v>
      </c>
      <c r="R5" s="3">
        <f t="shared" si="0"/>
        <v>6954.56</v>
      </c>
    </row>
    <row r="6" spans="1:18" x14ac:dyDescent="0.3">
      <c r="A6" t="s">
        <v>50</v>
      </c>
      <c r="B6" s="1">
        <v>45101</v>
      </c>
      <c r="C6" t="s">
        <v>17</v>
      </c>
      <c r="D6" t="s">
        <v>24</v>
      </c>
      <c r="E6">
        <v>18</v>
      </c>
      <c r="F6" s="3">
        <v>237.76</v>
      </c>
      <c r="G6" s="6" t="s">
        <v>31</v>
      </c>
      <c r="H6" s="6" t="s">
        <v>34</v>
      </c>
      <c r="I6" s="10">
        <v>0</v>
      </c>
      <c r="J6" s="6" t="s">
        <v>38</v>
      </c>
      <c r="K6" s="6" t="s">
        <v>41</v>
      </c>
      <c r="L6" s="12">
        <v>0</v>
      </c>
      <c r="M6" s="6" t="s">
        <v>249</v>
      </c>
      <c r="N6" s="3">
        <v>5.73</v>
      </c>
      <c r="O6" s="8">
        <v>45101</v>
      </c>
      <c r="P6" s="8">
        <v>45104</v>
      </c>
      <c r="Q6" s="6" t="s">
        <v>443</v>
      </c>
      <c r="R6" s="3">
        <f t="shared" si="0"/>
        <v>4285.41</v>
      </c>
    </row>
    <row r="7" spans="1:18" x14ac:dyDescent="0.3">
      <c r="A7" t="s">
        <v>51</v>
      </c>
      <c r="B7" s="1">
        <v>45342</v>
      </c>
      <c r="C7" t="s">
        <v>20</v>
      </c>
      <c r="D7" t="s">
        <v>26</v>
      </c>
      <c r="E7">
        <v>2</v>
      </c>
      <c r="F7" s="3">
        <v>385.09</v>
      </c>
      <c r="G7" s="6" t="s">
        <v>32</v>
      </c>
      <c r="H7" s="6" t="s">
        <v>33</v>
      </c>
      <c r="I7" s="10">
        <v>0.15</v>
      </c>
      <c r="J7" s="6" t="s">
        <v>39</v>
      </c>
      <c r="K7" s="6" t="s">
        <v>43</v>
      </c>
      <c r="L7" s="12">
        <v>0</v>
      </c>
      <c r="M7" s="6" t="s">
        <v>250</v>
      </c>
      <c r="N7" s="3">
        <v>11.92</v>
      </c>
      <c r="O7" s="8">
        <v>45342</v>
      </c>
      <c r="P7" s="8">
        <v>45352</v>
      </c>
      <c r="Q7" s="6" t="s">
        <v>446</v>
      </c>
      <c r="R7" s="3">
        <f t="shared" si="0"/>
        <v>781.94999999999993</v>
      </c>
    </row>
    <row r="8" spans="1:18" x14ac:dyDescent="0.3">
      <c r="A8" t="s">
        <v>52</v>
      </c>
      <c r="B8" s="1">
        <v>44937</v>
      </c>
      <c r="C8" t="s">
        <v>18</v>
      </c>
      <c r="D8" t="s">
        <v>25</v>
      </c>
      <c r="E8">
        <v>7</v>
      </c>
      <c r="F8" s="3">
        <v>17.5</v>
      </c>
      <c r="G8" s="6" t="s">
        <v>31</v>
      </c>
      <c r="H8" s="6" t="s">
        <v>34</v>
      </c>
      <c r="I8" s="10">
        <v>0.1</v>
      </c>
      <c r="J8" s="6" t="s">
        <v>36</v>
      </c>
      <c r="K8" s="6" t="s">
        <v>44</v>
      </c>
      <c r="L8" s="12">
        <v>0</v>
      </c>
      <c r="M8" s="6" t="s">
        <v>251</v>
      </c>
      <c r="N8" s="3">
        <v>5.0199999999999996</v>
      </c>
      <c r="O8" s="8">
        <v>44937</v>
      </c>
      <c r="P8" s="8">
        <v>44940</v>
      </c>
      <c r="Q8" s="6" t="s">
        <v>444</v>
      </c>
      <c r="R8" s="3">
        <f t="shared" si="0"/>
        <v>127.42</v>
      </c>
    </row>
    <row r="9" spans="1:18" x14ac:dyDescent="0.3">
      <c r="A9" t="s">
        <v>53</v>
      </c>
      <c r="B9" s="1">
        <v>44935</v>
      </c>
      <c r="C9" t="s">
        <v>20</v>
      </c>
      <c r="D9" t="s">
        <v>25</v>
      </c>
      <c r="E9">
        <v>3</v>
      </c>
      <c r="F9" s="3">
        <v>330.22</v>
      </c>
      <c r="G9" s="6" t="s">
        <v>31</v>
      </c>
      <c r="H9" s="6" t="s">
        <v>33</v>
      </c>
      <c r="I9" s="10">
        <v>0.15</v>
      </c>
      <c r="J9" s="6" t="s">
        <v>38</v>
      </c>
      <c r="K9" s="6" t="s">
        <v>45</v>
      </c>
      <c r="L9" s="12">
        <v>0</v>
      </c>
      <c r="M9" s="6" t="s">
        <v>252</v>
      </c>
      <c r="N9" s="3">
        <v>48.01</v>
      </c>
      <c r="O9" s="8">
        <v>44935</v>
      </c>
      <c r="P9" s="8">
        <v>44937</v>
      </c>
      <c r="Q9" s="6" t="s">
        <v>446</v>
      </c>
      <c r="R9" s="3">
        <f t="shared" si="0"/>
        <v>1038.5200000000002</v>
      </c>
    </row>
    <row r="10" spans="1:18" x14ac:dyDescent="0.3">
      <c r="A10" t="s">
        <v>54</v>
      </c>
      <c r="B10" s="1">
        <v>45581</v>
      </c>
      <c r="C10" t="s">
        <v>18</v>
      </c>
      <c r="D10" t="s">
        <v>25</v>
      </c>
      <c r="E10">
        <v>3</v>
      </c>
      <c r="F10" s="3">
        <v>432.04</v>
      </c>
      <c r="G10" s="6" t="s">
        <v>32</v>
      </c>
      <c r="H10" s="6" t="s">
        <v>33</v>
      </c>
      <c r="I10" s="10">
        <v>0.05</v>
      </c>
      <c r="J10" s="6" t="s">
        <v>40</v>
      </c>
      <c r="K10" s="6" t="s">
        <v>44</v>
      </c>
      <c r="L10" s="12">
        <v>1</v>
      </c>
      <c r="M10" s="6" t="s">
        <v>253</v>
      </c>
      <c r="N10" s="3">
        <v>42.11</v>
      </c>
      <c r="O10" s="8">
        <v>45581</v>
      </c>
      <c r="P10" s="8">
        <v>45583</v>
      </c>
      <c r="Q10" s="6" t="s">
        <v>444</v>
      </c>
      <c r="R10" s="3">
        <f t="shared" si="0"/>
        <v>1338.18</v>
      </c>
    </row>
    <row r="11" spans="1:18" x14ac:dyDescent="0.3">
      <c r="A11" t="s">
        <v>55</v>
      </c>
      <c r="B11" s="1">
        <v>45721</v>
      </c>
      <c r="C11" t="s">
        <v>21</v>
      </c>
      <c r="D11" t="s">
        <v>24</v>
      </c>
      <c r="E11">
        <v>5</v>
      </c>
      <c r="F11" s="3">
        <v>323.27999999999997</v>
      </c>
      <c r="G11" s="6" t="s">
        <v>32</v>
      </c>
      <c r="H11" s="6" t="s">
        <v>34</v>
      </c>
      <c r="I11" s="10">
        <v>0.1</v>
      </c>
      <c r="J11" s="6" t="s">
        <v>37</v>
      </c>
      <c r="K11" s="6" t="s">
        <v>42</v>
      </c>
      <c r="L11" s="12">
        <v>0</v>
      </c>
      <c r="M11" s="6" t="s">
        <v>254</v>
      </c>
      <c r="N11" s="3">
        <v>41.1</v>
      </c>
      <c r="O11" s="8">
        <v>45721</v>
      </c>
      <c r="P11" s="8">
        <v>45729</v>
      </c>
      <c r="Q11" s="6" t="s">
        <v>447</v>
      </c>
      <c r="R11" s="3">
        <f t="shared" si="0"/>
        <v>1657.3999999999999</v>
      </c>
    </row>
    <row r="12" spans="1:18" x14ac:dyDescent="0.3">
      <c r="A12" t="s">
        <v>56</v>
      </c>
      <c r="B12" s="1">
        <v>45392</v>
      </c>
      <c r="C12" t="s">
        <v>19</v>
      </c>
      <c r="D12" t="s">
        <v>24</v>
      </c>
      <c r="E12">
        <v>15</v>
      </c>
      <c r="F12" s="3">
        <v>523.29</v>
      </c>
      <c r="G12" s="6" t="s">
        <v>29</v>
      </c>
      <c r="H12" s="6" t="s">
        <v>33</v>
      </c>
      <c r="I12" s="10">
        <v>0.15</v>
      </c>
      <c r="J12" s="6" t="s">
        <v>35</v>
      </c>
      <c r="K12" s="6" t="s">
        <v>44</v>
      </c>
      <c r="L12" s="12">
        <v>0</v>
      </c>
      <c r="M12" s="6" t="s">
        <v>255</v>
      </c>
      <c r="N12" s="3">
        <v>12.14</v>
      </c>
      <c r="O12" s="8">
        <v>45392</v>
      </c>
      <c r="P12" s="8">
        <v>45399</v>
      </c>
      <c r="Q12" s="6" t="s">
        <v>445</v>
      </c>
      <c r="R12" s="3">
        <f t="shared" si="0"/>
        <v>7861.34</v>
      </c>
    </row>
    <row r="13" spans="1:18" x14ac:dyDescent="0.3">
      <c r="A13" t="s">
        <v>57</v>
      </c>
      <c r="B13" s="1">
        <v>45485</v>
      </c>
      <c r="C13" t="s">
        <v>17</v>
      </c>
      <c r="D13" t="s">
        <v>23</v>
      </c>
      <c r="E13">
        <v>19</v>
      </c>
      <c r="F13" s="3">
        <v>207.35</v>
      </c>
      <c r="G13" s="6" t="s">
        <v>32</v>
      </c>
      <c r="H13" s="6" t="s">
        <v>34</v>
      </c>
      <c r="I13" s="10">
        <v>0.1</v>
      </c>
      <c r="J13" s="6" t="s">
        <v>35</v>
      </c>
      <c r="K13" s="6" t="s">
        <v>42</v>
      </c>
      <c r="L13" s="12">
        <v>1</v>
      </c>
      <c r="M13" s="6" t="s">
        <v>256</v>
      </c>
      <c r="N13" s="3">
        <v>44.89</v>
      </c>
      <c r="O13" s="8">
        <v>45485</v>
      </c>
      <c r="P13" s="8">
        <v>45491</v>
      </c>
      <c r="Q13" s="6" t="s">
        <v>443</v>
      </c>
      <c r="R13" s="3">
        <f t="shared" si="0"/>
        <v>3984.44</v>
      </c>
    </row>
    <row r="14" spans="1:18" x14ac:dyDescent="0.3">
      <c r="A14" t="s">
        <v>58</v>
      </c>
      <c r="B14" s="1">
        <v>45128</v>
      </c>
      <c r="C14" t="s">
        <v>20</v>
      </c>
      <c r="D14" t="s">
        <v>23</v>
      </c>
      <c r="E14">
        <v>1</v>
      </c>
      <c r="F14" s="3">
        <v>120.53</v>
      </c>
      <c r="G14" s="6" t="s">
        <v>29</v>
      </c>
      <c r="H14" s="6" t="s">
        <v>34</v>
      </c>
      <c r="I14" s="10">
        <v>0.05</v>
      </c>
      <c r="J14" s="6" t="s">
        <v>39</v>
      </c>
      <c r="K14" s="6" t="s">
        <v>45</v>
      </c>
      <c r="L14" s="12">
        <v>0</v>
      </c>
      <c r="M14" s="6" t="s">
        <v>257</v>
      </c>
      <c r="N14" s="3">
        <v>20.350000000000001</v>
      </c>
      <c r="O14" s="8">
        <v>45128</v>
      </c>
      <c r="P14" s="8">
        <v>45138</v>
      </c>
      <c r="Q14" s="6" t="s">
        <v>446</v>
      </c>
      <c r="R14" s="3">
        <f t="shared" si="0"/>
        <v>140.83000000000001</v>
      </c>
    </row>
    <row r="15" spans="1:18" x14ac:dyDescent="0.3">
      <c r="A15" t="s">
        <v>59</v>
      </c>
      <c r="B15" s="1">
        <v>45675</v>
      </c>
      <c r="C15" t="s">
        <v>21</v>
      </c>
      <c r="D15" t="s">
        <v>27</v>
      </c>
      <c r="E15">
        <v>1</v>
      </c>
      <c r="F15" s="3">
        <v>157.83000000000001</v>
      </c>
      <c r="G15" s="6" t="s">
        <v>30</v>
      </c>
      <c r="H15" s="6" t="s">
        <v>33</v>
      </c>
      <c r="I15" s="10">
        <v>0.15</v>
      </c>
      <c r="J15" s="6" t="s">
        <v>38</v>
      </c>
      <c r="K15" s="6" t="s">
        <v>44</v>
      </c>
      <c r="L15" s="12">
        <v>0</v>
      </c>
      <c r="M15" s="6" t="s">
        <v>258</v>
      </c>
      <c r="N15" s="3">
        <v>42.82</v>
      </c>
      <c r="O15" s="8">
        <v>45675</v>
      </c>
      <c r="P15" s="8">
        <v>45679</v>
      </c>
      <c r="Q15" s="6" t="s">
        <v>447</v>
      </c>
      <c r="R15" s="3">
        <f t="shared" si="0"/>
        <v>200.5</v>
      </c>
    </row>
    <row r="16" spans="1:18" x14ac:dyDescent="0.3">
      <c r="A16" t="s">
        <v>60</v>
      </c>
      <c r="B16" s="1">
        <v>45634</v>
      </c>
      <c r="C16" t="s">
        <v>19</v>
      </c>
      <c r="D16" t="s">
        <v>24</v>
      </c>
      <c r="E16">
        <v>15</v>
      </c>
      <c r="F16" s="3">
        <v>220.3</v>
      </c>
      <c r="G16" s="6" t="s">
        <v>29</v>
      </c>
      <c r="H16" s="6" t="s">
        <v>34</v>
      </c>
      <c r="I16" s="10">
        <v>0.15</v>
      </c>
      <c r="J16" s="6" t="s">
        <v>39</v>
      </c>
      <c r="K16" s="6" t="s">
        <v>44</v>
      </c>
      <c r="L16" s="12">
        <v>0</v>
      </c>
      <c r="M16" s="6" t="s">
        <v>259</v>
      </c>
      <c r="N16" s="3">
        <v>39.659999999999997</v>
      </c>
      <c r="O16" s="8">
        <v>45634</v>
      </c>
      <c r="P16" s="8">
        <v>45641</v>
      </c>
      <c r="Q16" s="6" t="s">
        <v>445</v>
      </c>
      <c r="R16" s="3">
        <f t="shared" si="0"/>
        <v>3344.0099999999998</v>
      </c>
    </row>
    <row r="17" spans="1:18" x14ac:dyDescent="0.3">
      <c r="A17" t="s">
        <v>61</v>
      </c>
      <c r="B17" s="1">
        <v>45788</v>
      </c>
      <c r="C17" t="s">
        <v>21</v>
      </c>
      <c r="D17" t="s">
        <v>25</v>
      </c>
      <c r="E17">
        <v>17</v>
      </c>
      <c r="F17" s="3">
        <v>162.96</v>
      </c>
      <c r="G17" s="6" t="s">
        <v>30</v>
      </c>
      <c r="H17" s="6" t="s">
        <v>33</v>
      </c>
      <c r="I17" s="10">
        <v>0.05</v>
      </c>
      <c r="J17" s="6" t="s">
        <v>35</v>
      </c>
      <c r="K17" s="6" t="s">
        <v>42</v>
      </c>
      <c r="L17" s="12">
        <v>0</v>
      </c>
      <c r="M17" s="6" t="s">
        <v>260</v>
      </c>
      <c r="N17" s="3">
        <v>8.11</v>
      </c>
      <c r="O17" s="8">
        <v>45788</v>
      </c>
      <c r="P17" s="8">
        <v>45794</v>
      </c>
      <c r="Q17" s="6" t="s">
        <v>447</v>
      </c>
      <c r="R17" s="3">
        <f t="shared" si="0"/>
        <v>2778.38</v>
      </c>
    </row>
    <row r="18" spans="1:18" x14ac:dyDescent="0.3">
      <c r="A18" t="s">
        <v>62</v>
      </c>
      <c r="B18" s="1">
        <v>44983</v>
      </c>
      <c r="C18" t="s">
        <v>21</v>
      </c>
      <c r="D18" t="s">
        <v>22</v>
      </c>
      <c r="E18">
        <v>19</v>
      </c>
      <c r="F18" s="3">
        <v>236.11</v>
      </c>
      <c r="G18" s="6" t="s">
        <v>32</v>
      </c>
      <c r="H18" s="6" t="s">
        <v>33</v>
      </c>
      <c r="I18" s="10">
        <v>0</v>
      </c>
      <c r="J18" s="6" t="s">
        <v>40</v>
      </c>
      <c r="K18" s="6" t="s">
        <v>41</v>
      </c>
      <c r="L18" s="12">
        <v>0</v>
      </c>
      <c r="M18" s="6" t="s">
        <v>261</v>
      </c>
      <c r="N18" s="3">
        <v>34.11</v>
      </c>
      <c r="O18" s="8">
        <v>44983</v>
      </c>
      <c r="P18" s="8">
        <v>44989</v>
      </c>
      <c r="Q18" s="6" t="s">
        <v>447</v>
      </c>
      <c r="R18" s="3">
        <f t="shared" si="0"/>
        <v>4520.2</v>
      </c>
    </row>
    <row r="19" spans="1:18" x14ac:dyDescent="0.3">
      <c r="A19" t="s">
        <v>63</v>
      </c>
      <c r="B19" s="1">
        <v>45440</v>
      </c>
      <c r="C19" t="s">
        <v>20</v>
      </c>
      <c r="D19" t="s">
        <v>24</v>
      </c>
      <c r="E19">
        <v>11</v>
      </c>
      <c r="F19" s="3">
        <v>573.14</v>
      </c>
      <c r="G19" s="6" t="s">
        <v>32</v>
      </c>
      <c r="H19" s="6" t="s">
        <v>34</v>
      </c>
      <c r="I19" s="10">
        <v>0.05</v>
      </c>
      <c r="J19" s="6" t="s">
        <v>39</v>
      </c>
      <c r="K19" s="6" t="s">
        <v>45</v>
      </c>
      <c r="L19" s="12">
        <v>0</v>
      </c>
      <c r="M19" s="6" t="s">
        <v>262</v>
      </c>
      <c r="N19" s="3">
        <v>34.71</v>
      </c>
      <c r="O19" s="8">
        <v>45440</v>
      </c>
      <c r="P19" s="8">
        <v>45444</v>
      </c>
      <c r="Q19" s="6" t="s">
        <v>446</v>
      </c>
      <c r="R19" s="3">
        <f t="shared" si="0"/>
        <v>6339.2</v>
      </c>
    </row>
    <row r="20" spans="1:18" x14ac:dyDescent="0.3">
      <c r="A20" t="s">
        <v>64</v>
      </c>
      <c r="B20" s="1">
        <v>45260</v>
      </c>
      <c r="C20" t="s">
        <v>17</v>
      </c>
      <c r="D20" t="s">
        <v>23</v>
      </c>
      <c r="E20">
        <v>20</v>
      </c>
      <c r="F20" s="3">
        <v>519.04</v>
      </c>
      <c r="G20" s="6" t="s">
        <v>29</v>
      </c>
      <c r="H20" s="6" t="s">
        <v>34</v>
      </c>
      <c r="I20" s="10">
        <v>0.15</v>
      </c>
      <c r="J20" s="6" t="s">
        <v>38</v>
      </c>
      <c r="K20" s="6" t="s">
        <v>42</v>
      </c>
      <c r="L20" s="12">
        <v>0</v>
      </c>
      <c r="M20" s="6" t="s">
        <v>263</v>
      </c>
      <c r="N20" s="3">
        <v>19.43</v>
      </c>
      <c r="O20" s="8">
        <v>45260</v>
      </c>
      <c r="P20" s="8">
        <v>45268</v>
      </c>
      <c r="Q20" s="6" t="s">
        <v>443</v>
      </c>
      <c r="R20" s="3">
        <f t="shared" si="0"/>
        <v>10400.08</v>
      </c>
    </row>
    <row r="21" spans="1:18" x14ac:dyDescent="0.3">
      <c r="A21" t="s">
        <v>65</v>
      </c>
      <c r="B21" s="1">
        <v>45099</v>
      </c>
      <c r="C21" t="s">
        <v>21</v>
      </c>
      <c r="D21" t="s">
        <v>24</v>
      </c>
      <c r="E21">
        <v>14</v>
      </c>
      <c r="F21" s="3">
        <v>30.83</v>
      </c>
      <c r="G21" s="6" t="s">
        <v>29</v>
      </c>
      <c r="H21" s="6" t="s">
        <v>34</v>
      </c>
      <c r="I21" s="10">
        <v>0</v>
      </c>
      <c r="J21" s="6" t="s">
        <v>38</v>
      </c>
      <c r="K21" s="6" t="s">
        <v>41</v>
      </c>
      <c r="L21" s="12">
        <v>1</v>
      </c>
      <c r="M21" s="6" t="s">
        <v>264</v>
      </c>
      <c r="N21" s="3">
        <v>7.1</v>
      </c>
      <c r="O21" s="8">
        <v>45099</v>
      </c>
      <c r="P21" s="8">
        <v>45109</v>
      </c>
      <c r="Q21" s="6" t="s">
        <v>447</v>
      </c>
      <c r="R21" s="3">
        <f t="shared" si="0"/>
        <v>438.72</v>
      </c>
    </row>
    <row r="22" spans="1:18" x14ac:dyDescent="0.3">
      <c r="A22" t="s">
        <v>66</v>
      </c>
      <c r="B22" s="1">
        <v>45813</v>
      </c>
      <c r="C22" t="s">
        <v>21</v>
      </c>
      <c r="D22" t="s">
        <v>23</v>
      </c>
      <c r="E22">
        <v>10</v>
      </c>
      <c r="F22" s="3">
        <v>319.05</v>
      </c>
      <c r="G22" s="6" t="s">
        <v>32</v>
      </c>
      <c r="H22" s="6" t="s">
        <v>33</v>
      </c>
      <c r="I22" s="10">
        <v>0</v>
      </c>
      <c r="J22" s="6" t="s">
        <v>39</v>
      </c>
      <c r="K22" s="6" t="s">
        <v>41</v>
      </c>
      <c r="L22" s="12">
        <v>0</v>
      </c>
      <c r="M22" s="6" t="s">
        <v>265</v>
      </c>
      <c r="N22" s="3">
        <v>28.43</v>
      </c>
      <c r="O22" s="8">
        <v>45813</v>
      </c>
      <c r="P22" s="8">
        <v>45816</v>
      </c>
      <c r="Q22" s="6" t="s">
        <v>447</v>
      </c>
      <c r="R22" s="3">
        <f t="shared" si="0"/>
        <v>3218.93</v>
      </c>
    </row>
    <row r="23" spans="1:18" x14ac:dyDescent="0.3">
      <c r="A23" t="s">
        <v>67</v>
      </c>
      <c r="B23" s="1">
        <v>44988</v>
      </c>
      <c r="C23" t="s">
        <v>20</v>
      </c>
      <c r="D23" t="s">
        <v>25</v>
      </c>
      <c r="E23">
        <v>14</v>
      </c>
      <c r="F23" s="3">
        <v>312.79000000000002</v>
      </c>
      <c r="G23" s="6" t="s">
        <v>30</v>
      </c>
      <c r="H23" s="6" t="s">
        <v>34</v>
      </c>
      <c r="I23" s="10">
        <v>0.05</v>
      </c>
      <c r="J23" s="6" t="s">
        <v>40</v>
      </c>
      <c r="K23" s="6" t="s">
        <v>41</v>
      </c>
      <c r="L23" s="12">
        <v>1</v>
      </c>
      <c r="M23" s="6" t="s">
        <v>266</v>
      </c>
      <c r="N23" s="3">
        <v>46.83</v>
      </c>
      <c r="O23" s="8">
        <v>44988</v>
      </c>
      <c r="P23" s="8">
        <v>44993</v>
      </c>
      <c r="Q23" s="6" t="s">
        <v>446</v>
      </c>
      <c r="R23" s="3">
        <f t="shared" si="0"/>
        <v>4425.84</v>
      </c>
    </row>
    <row r="24" spans="1:18" x14ac:dyDescent="0.3">
      <c r="A24" t="s">
        <v>68</v>
      </c>
      <c r="B24" s="1">
        <v>45340</v>
      </c>
      <c r="C24" t="s">
        <v>19</v>
      </c>
      <c r="D24" t="s">
        <v>22</v>
      </c>
      <c r="E24">
        <v>14</v>
      </c>
      <c r="F24" s="3">
        <v>395.45</v>
      </c>
      <c r="G24" s="6" t="s">
        <v>31</v>
      </c>
      <c r="H24" s="6" t="s">
        <v>34</v>
      </c>
      <c r="I24" s="10">
        <v>0</v>
      </c>
      <c r="J24" s="6" t="s">
        <v>38</v>
      </c>
      <c r="K24" s="6" t="s">
        <v>45</v>
      </c>
      <c r="L24" s="12">
        <v>1</v>
      </c>
      <c r="M24" s="6" t="s">
        <v>267</v>
      </c>
      <c r="N24" s="3">
        <v>36.450000000000003</v>
      </c>
      <c r="O24" s="8">
        <v>45340</v>
      </c>
      <c r="P24" s="8">
        <v>45344</v>
      </c>
      <c r="Q24" s="6" t="s">
        <v>445</v>
      </c>
      <c r="R24" s="3">
        <f t="shared" si="0"/>
        <v>5572.75</v>
      </c>
    </row>
    <row r="25" spans="1:18" x14ac:dyDescent="0.3">
      <c r="A25" t="s">
        <v>69</v>
      </c>
      <c r="B25" s="1">
        <v>45144</v>
      </c>
      <c r="C25" t="s">
        <v>20</v>
      </c>
      <c r="D25" t="s">
        <v>22</v>
      </c>
      <c r="E25">
        <v>12</v>
      </c>
      <c r="F25" s="3">
        <v>472.72</v>
      </c>
      <c r="G25" s="6" t="s">
        <v>32</v>
      </c>
      <c r="H25" s="6" t="s">
        <v>34</v>
      </c>
      <c r="I25" s="10">
        <v>0.15</v>
      </c>
      <c r="J25" s="6" t="s">
        <v>39</v>
      </c>
      <c r="K25" s="6" t="s">
        <v>43</v>
      </c>
      <c r="L25" s="12">
        <v>0</v>
      </c>
      <c r="M25" s="6" t="s">
        <v>268</v>
      </c>
      <c r="N25" s="3">
        <v>27.97</v>
      </c>
      <c r="O25" s="8">
        <v>45144</v>
      </c>
      <c r="P25" s="8">
        <v>45152</v>
      </c>
      <c r="Q25" s="6" t="s">
        <v>446</v>
      </c>
      <c r="R25" s="3">
        <f t="shared" si="0"/>
        <v>5700.4600000000009</v>
      </c>
    </row>
    <row r="26" spans="1:18" x14ac:dyDescent="0.3">
      <c r="A26" t="s">
        <v>70</v>
      </c>
      <c r="B26" s="1">
        <v>45435</v>
      </c>
      <c r="C26" t="s">
        <v>19</v>
      </c>
      <c r="D26" t="s">
        <v>24</v>
      </c>
      <c r="E26">
        <v>5</v>
      </c>
      <c r="F26" s="3">
        <v>288.01</v>
      </c>
      <c r="G26" s="6" t="s">
        <v>30</v>
      </c>
      <c r="H26" s="6" t="s">
        <v>33</v>
      </c>
      <c r="I26" s="10">
        <v>0</v>
      </c>
      <c r="J26" s="6" t="s">
        <v>35</v>
      </c>
      <c r="K26" s="6" t="s">
        <v>43</v>
      </c>
      <c r="L26" s="12">
        <v>0</v>
      </c>
      <c r="M26" s="6" t="s">
        <v>269</v>
      </c>
      <c r="N26" s="3">
        <v>46.69</v>
      </c>
      <c r="O26" s="8">
        <v>45435</v>
      </c>
      <c r="P26" s="8">
        <v>45442</v>
      </c>
      <c r="Q26" s="6" t="s">
        <v>445</v>
      </c>
      <c r="R26" s="3">
        <f t="shared" si="0"/>
        <v>1486.74</v>
      </c>
    </row>
    <row r="27" spans="1:18" x14ac:dyDescent="0.3">
      <c r="A27" t="s">
        <v>71</v>
      </c>
      <c r="B27" s="1">
        <v>45222</v>
      </c>
      <c r="C27" t="s">
        <v>17</v>
      </c>
      <c r="D27" t="s">
        <v>23</v>
      </c>
      <c r="E27">
        <v>13</v>
      </c>
      <c r="F27" s="3">
        <v>562.29</v>
      </c>
      <c r="G27" s="6" t="s">
        <v>32</v>
      </c>
      <c r="H27" s="6" t="s">
        <v>34</v>
      </c>
      <c r="I27" s="10">
        <v>0</v>
      </c>
      <c r="J27" s="6" t="s">
        <v>39</v>
      </c>
      <c r="K27" s="6" t="s">
        <v>42</v>
      </c>
      <c r="L27" s="12">
        <v>0</v>
      </c>
      <c r="M27" s="6" t="s">
        <v>270</v>
      </c>
      <c r="N27" s="3">
        <v>38.130000000000003</v>
      </c>
      <c r="O27" s="8">
        <v>45222</v>
      </c>
      <c r="P27" s="8">
        <v>45227</v>
      </c>
      <c r="Q27" s="6" t="s">
        <v>443</v>
      </c>
      <c r="R27" s="3">
        <f t="shared" si="0"/>
        <v>7347.9</v>
      </c>
    </row>
    <row r="28" spans="1:18" x14ac:dyDescent="0.3">
      <c r="A28" t="s">
        <v>72</v>
      </c>
      <c r="B28" s="1">
        <v>45824</v>
      </c>
      <c r="C28" t="s">
        <v>21</v>
      </c>
      <c r="D28" t="s">
        <v>23</v>
      </c>
      <c r="E28">
        <v>1</v>
      </c>
      <c r="F28" s="3">
        <v>101.73</v>
      </c>
      <c r="G28" s="6" t="s">
        <v>32</v>
      </c>
      <c r="H28" s="6" t="s">
        <v>34</v>
      </c>
      <c r="I28" s="10">
        <v>0</v>
      </c>
      <c r="J28" s="6" t="s">
        <v>37</v>
      </c>
      <c r="K28" s="6" t="s">
        <v>44</v>
      </c>
      <c r="L28" s="12">
        <v>0</v>
      </c>
      <c r="M28" s="6" t="s">
        <v>271</v>
      </c>
      <c r="N28" s="3">
        <v>11.59</v>
      </c>
      <c r="O28" s="8">
        <v>45824</v>
      </c>
      <c r="P28" s="8">
        <v>45833</v>
      </c>
      <c r="Q28" s="6" t="s">
        <v>447</v>
      </c>
      <c r="R28" s="3">
        <f t="shared" si="0"/>
        <v>113.32000000000001</v>
      </c>
    </row>
    <row r="29" spans="1:18" x14ac:dyDescent="0.3">
      <c r="A29" t="s">
        <v>73</v>
      </c>
      <c r="B29" s="1">
        <v>44988</v>
      </c>
      <c r="C29" t="s">
        <v>19</v>
      </c>
      <c r="D29" t="s">
        <v>23</v>
      </c>
      <c r="E29">
        <v>4</v>
      </c>
      <c r="F29" s="3">
        <v>279.49</v>
      </c>
      <c r="G29" s="6" t="s">
        <v>29</v>
      </c>
      <c r="H29" s="6" t="s">
        <v>34</v>
      </c>
      <c r="I29" s="10">
        <v>0</v>
      </c>
      <c r="J29" s="6" t="s">
        <v>39</v>
      </c>
      <c r="K29" s="6" t="s">
        <v>43</v>
      </c>
      <c r="L29" s="12">
        <v>0</v>
      </c>
      <c r="M29" s="6" t="s">
        <v>272</v>
      </c>
      <c r="N29" s="3">
        <v>24.78</v>
      </c>
      <c r="O29" s="8">
        <v>44988</v>
      </c>
      <c r="P29" s="8">
        <v>44993</v>
      </c>
      <c r="Q29" s="6" t="s">
        <v>445</v>
      </c>
      <c r="R29" s="3">
        <f t="shared" si="0"/>
        <v>1142.74</v>
      </c>
    </row>
    <row r="30" spans="1:18" x14ac:dyDescent="0.3">
      <c r="A30" t="s">
        <v>74</v>
      </c>
      <c r="B30" s="1">
        <v>45614</v>
      </c>
      <c r="C30" t="s">
        <v>18</v>
      </c>
      <c r="D30" t="s">
        <v>22</v>
      </c>
      <c r="E30">
        <v>1</v>
      </c>
      <c r="F30" s="3">
        <v>178.55</v>
      </c>
      <c r="G30" s="6" t="s">
        <v>30</v>
      </c>
      <c r="H30" s="6" t="s">
        <v>34</v>
      </c>
      <c r="I30" s="10">
        <v>0.15</v>
      </c>
      <c r="J30" s="6" t="s">
        <v>38</v>
      </c>
      <c r="K30" s="6" t="s">
        <v>44</v>
      </c>
      <c r="L30" s="12">
        <v>1</v>
      </c>
      <c r="M30" s="6" t="s">
        <v>273</v>
      </c>
      <c r="N30" s="3">
        <v>7.61</v>
      </c>
      <c r="O30" s="8">
        <v>45614</v>
      </c>
      <c r="P30" s="8">
        <v>45617</v>
      </c>
      <c r="Q30" s="6" t="s">
        <v>444</v>
      </c>
      <c r="R30" s="3">
        <f t="shared" si="0"/>
        <v>186.01000000000002</v>
      </c>
    </row>
    <row r="31" spans="1:18" x14ac:dyDescent="0.3">
      <c r="A31" t="s">
        <v>75</v>
      </c>
      <c r="B31" s="1">
        <v>45055</v>
      </c>
      <c r="C31" t="s">
        <v>20</v>
      </c>
      <c r="D31" t="s">
        <v>27</v>
      </c>
      <c r="E31">
        <v>1</v>
      </c>
      <c r="F31" s="3">
        <v>472.07</v>
      </c>
      <c r="G31" s="6" t="s">
        <v>30</v>
      </c>
      <c r="H31" s="6" t="s">
        <v>33</v>
      </c>
      <c r="I31" s="10">
        <v>0.1</v>
      </c>
      <c r="J31" s="6" t="s">
        <v>38</v>
      </c>
      <c r="K31" s="6" t="s">
        <v>41</v>
      </c>
      <c r="L31" s="12">
        <v>0</v>
      </c>
      <c r="M31" s="6" t="s">
        <v>274</v>
      </c>
      <c r="N31" s="3">
        <v>33.17</v>
      </c>
      <c r="O31" s="8">
        <v>45055</v>
      </c>
      <c r="P31" s="8">
        <v>45063</v>
      </c>
      <c r="Q31" s="6" t="s">
        <v>446</v>
      </c>
      <c r="R31" s="3">
        <f t="shared" si="0"/>
        <v>505.14</v>
      </c>
    </row>
    <row r="32" spans="1:18" x14ac:dyDescent="0.3">
      <c r="A32" t="s">
        <v>76</v>
      </c>
      <c r="B32" s="1">
        <v>45633</v>
      </c>
      <c r="C32" t="s">
        <v>19</v>
      </c>
      <c r="D32" t="s">
        <v>27</v>
      </c>
      <c r="E32">
        <v>12</v>
      </c>
      <c r="F32" s="3">
        <v>306.29000000000002</v>
      </c>
      <c r="G32" s="6" t="s">
        <v>32</v>
      </c>
      <c r="H32" s="6" t="s">
        <v>34</v>
      </c>
      <c r="I32" s="10">
        <v>0</v>
      </c>
      <c r="J32" s="6" t="s">
        <v>37</v>
      </c>
      <c r="K32" s="6" t="s">
        <v>44</v>
      </c>
      <c r="L32" s="12">
        <v>0</v>
      </c>
      <c r="M32" s="6" t="s">
        <v>275</v>
      </c>
      <c r="N32" s="3">
        <v>37.380000000000003</v>
      </c>
      <c r="O32" s="8">
        <v>45633</v>
      </c>
      <c r="P32" s="8">
        <v>45640</v>
      </c>
      <c r="Q32" s="6" t="s">
        <v>445</v>
      </c>
      <c r="R32" s="3">
        <f t="shared" si="0"/>
        <v>3712.8600000000006</v>
      </c>
    </row>
    <row r="33" spans="1:18" x14ac:dyDescent="0.3">
      <c r="A33" t="s">
        <v>77</v>
      </c>
      <c r="B33" s="1">
        <v>45335</v>
      </c>
      <c r="C33" t="s">
        <v>19</v>
      </c>
      <c r="D33" t="s">
        <v>23</v>
      </c>
      <c r="E33">
        <v>7</v>
      </c>
      <c r="F33" s="3">
        <v>434.77</v>
      </c>
      <c r="G33" s="6" t="s">
        <v>31</v>
      </c>
      <c r="H33" s="6" t="s">
        <v>34</v>
      </c>
      <c r="I33" s="10">
        <v>0.15</v>
      </c>
      <c r="J33" s="6" t="s">
        <v>37</v>
      </c>
      <c r="K33" s="6" t="s">
        <v>41</v>
      </c>
      <c r="L33" s="12">
        <v>0</v>
      </c>
      <c r="M33" s="6" t="s">
        <v>276</v>
      </c>
      <c r="N33" s="3">
        <v>12.35</v>
      </c>
      <c r="O33" s="8">
        <v>45335</v>
      </c>
      <c r="P33" s="8">
        <v>45337</v>
      </c>
      <c r="Q33" s="6" t="s">
        <v>445</v>
      </c>
      <c r="R33" s="3">
        <f t="shared" si="0"/>
        <v>3055.5899999999997</v>
      </c>
    </row>
    <row r="34" spans="1:18" x14ac:dyDescent="0.3">
      <c r="A34" t="s">
        <v>78</v>
      </c>
      <c r="B34" s="1">
        <v>45725</v>
      </c>
      <c r="C34" t="s">
        <v>18</v>
      </c>
      <c r="D34" t="s">
        <v>24</v>
      </c>
      <c r="E34">
        <v>6</v>
      </c>
      <c r="F34" s="3">
        <v>64.98</v>
      </c>
      <c r="G34" s="6" t="s">
        <v>31</v>
      </c>
      <c r="H34" s="6" t="s">
        <v>34</v>
      </c>
      <c r="I34" s="10">
        <v>0</v>
      </c>
      <c r="J34" s="6" t="s">
        <v>38</v>
      </c>
      <c r="K34" s="6" t="s">
        <v>44</v>
      </c>
      <c r="L34" s="12">
        <v>0</v>
      </c>
      <c r="M34" s="6" t="s">
        <v>277</v>
      </c>
      <c r="N34" s="3">
        <v>21.25</v>
      </c>
      <c r="O34" s="8">
        <v>45725</v>
      </c>
      <c r="P34" s="8">
        <v>45731</v>
      </c>
      <c r="Q34" s="6" t="s">
        <v>444</v>
      </c>
      <c r="R34" s="3">
        <f t="shared" ref="R34:R65" si="1">(E34*F34)-I34+N34</f>
        <v>411.13</v>
      </c>
    </row>
    <row r="35" spans="1:18" x14ac:dyDescent="0.3">
      <c r="A35" t="s">
        <v>79</v>
      </c>
      <c r="B35" s="1">
        <v>45021</v>
      </c>
      <c r="C35" t="s">
        <v>20</v>
      </c>
      <c r="D35" t="s">
        <v>24</v>
      </c>
      <c r="E35">
        <v>17</v>
      </c>
      <c r="F35" s="3">
        <v>476.49</v>
      </c>
      <c r="G35" s="6" t="s">
        <v>32</v>
      </c>
      <c r="H35" s="6" t="s">
        <v>34</v>
      </c>
      <c r="I35" s="10">
        <v>0</v>
      </c>
      <c r="J35" s="6" t="s">
        <v>36</v>
      </c>
      <c r="K35" s="6" t="s">
        <v>42</v>
      </c>
      <c r="L35" s="12">
        <v>0</v>
      </c>
      <c r="M35" s="6" t="s">
        <v>278</v>
      </c>
      <c r="N35" s="3">
        <v>17.91</v>
      </c>
      <c r="O35" s="8">
        <v>45021</v>
      </c>
      <c r="P35" s="8">
        <v>45027</v>
      </c>
      <c r="Q35" s="6" t="s">
        <v>446</v>
      </c>
      <c r="R35" s="3">
        <f t="shared" si="1"/>
        <v>8118.24</v>
      </c>
    </row>
    <row r="36" spans="1:18" x14ac:dyDescent="0.3">
      <c r="A36" t="s">
        <v>80</v>
      </c>
      <c r="B36" s="1">
        <v>45785</v>
      </c>
      <c r="C36" t="s">
        <v>19</v>
      </c>
      <c r="D36" t="s">
        <v>26</v>
      </c>
      <c r="E36">
        <v>4</v>
      </c>
      <c r="F36" s="3">
        <v>559.72</v>
      </c>
      <c r="G36" s="6" t="s">
        <v>32</v>
      </c>
      <c r="H36" s="6" t="s">
        <v>34</v>
      </c>
      <c r="I36" s="10">
        <v>0.15</v>
      </c>
      <c r="J36" s="6" t="s">
        <v>39</v>
      </c>
      <c r="K36" s="6" t="s">
        <v>41</v>
      </c>
      <c r="L36" s="12">
        <v>0</v>
      </c>
      <c r="M36" s="6" t="s">
        <v>279</v>
      </c>
      <c r="N36" s="3">
        <v>41.91</v>
      </c>
      <c r="O36" s="8">
        <v>45785</v>
      </c>
      <c r="P36" s="8">
        <v>45789</v>
      </c>
      <c r="Q36" s="6" t="s">
        <v>445</v>
      </c>
      <c r="R36" s="3">
        <f t="shared" si="1"/>
        <v>2280.64</v>
      </c>
    </row>
    <row r="37" spans="1:18" x14ac:dyDescent="0.3">
      <c r="A37" t="s">
        <v>81</v>
      </c>
      <c r="B37" s="1">
        <v>45172</v>
      </c>
      <c r="C37" t="s">
        <v>19</v>
      </c>
      <c r="D37" t="s">
        <v>27</v>
      </c>
      <c r="E37">
        <v>14</v>
      </c>
      <c r="F37" s="3">
        <v>82.14</v>
      </c>
      <c r="G37" s="6" t="s">
        <v>31</v>
      </c>
      <c r="H37" s="6" t="s">
        <v>34</v>
      </c>
      <c r="I37" s="10">
        <v>0</v>
      </c>
      <c r="J37" s="6" t="s">
        <v>36</v>
      </c>
      <c r="K37" s="6" t="s">
        <v>43</v>
      </c>
      <c r="L37" s="12">
        <v>0</v>
      </c>
      <c r="M37" s="6" t="s">
        <v>280</v>
      </c>
      <c r="N37" s="3">
        <v>12.57</v>
      </c>
      <c r="O37" s="8">
        <v>45172</v>
      </c>
      <c r="P37" s="8">
        <v>45180</v>
      </c>
      <c r="Q37" s="6" t="s">
        <v>445</v>
      </c>
      <c r="R37" s="3">
        <f t="shared" si="1"/>
        <v>1162.53</v>
      </c>
    </row>
    <row r="38" spans="1:18" x14ac:dyDescent="0.3">
      <c r="A38" t="s">
        <v>82</v>
      </c>
      <c r="B38" s="1">
        <v>45737</v>
      </c>
      <c r="C38" t="s">
        <v>20</v>
      </c>
      <c r="D38" t="s">
        <v>25</v>
      </c>
      <c r="E38">
        <v>9</v>
      </c>
      <c r="F38" s="3">
        <v>343.21</v>
      </c>
      <c r="G38" s="6" t="s">
        <v>30</v>
      </c>
      <c r="H38" s="6" t="s">
        <v>34</v>
      </c>
      <c r="I38" s="10">
        <v>0.05</v>
      </c>
      <c r="J38" s="6" t="s">
        <v>38</v>
      </c>
      <c r="K38" s="6" t="s">
        <v>44</v>
      </c>
      <c r="L38" s="12">
        <v>0</v>
      </c>
      <c r="M38" s="6" t="s">
        <v>281</v>
      </c>
      <c r="N38" s="3">
        <v>40.29</v>
      </c>
      <c r="O38" s="8">
        <v>45737</v>
      </c>
      <c r="P38" s="8">
        <v>45744</v>
      </c>
      <c r="Q38" s="6" t="s">
        <v>446</v>
      </c>
      <c r="R38" s="3">
        <f t="shared" si="1"/>
        <v>3129.1299999999997</v>
      </c>
    </row>
    <row r="39" spans="1:18" x14ac:dyDescent="0.3">
      <c r="A39" t="s">
        <v>83</v>
      </c>
      <c r="B39" s="1">
        <v>45828</v>
      </c>
      <c r="C39" t="s">
        <v>18</v>
      </c>
      <c r="D39" t="s">
        <v>25</v>
      </c>
      <c r="E39">
        <v>7</v>
      </c>
      <c r="F39" s="3">
        <v>301.01</v>
      </c>
      <c r="G39" s="6" t="s">
        <v>29</v>
      </c>
      <c r="H39" s="6" t="s">
        <v>34</v>
      </c>
      <c r="I39" s="10">
        <v>0.15</v>
      </c>
      <c r="J39" s="6" t="s">
        <v>39</v>
      </c>
      <c r="K39" s="6" t="s">
        <v>45</v>
      </c>
      <c r="L39" s="12">
        <v>1</v>
      </c>
      <c r="M39" s="6" t="s">
        <v>282</v>
      </c>
      <c r="N39" s="3">
        <v>34.97</v>
      </c>
      <c r="O39" s="8">
        <v>45828</v>
      </c>
      <c r="P39" s="8">
        <v>45838</v>
      </c>
      <c r="Q39" s="6" t="s">
        <v>444</v>
      </c>
      <c r="R39" s="3">
        <f t="shared" si="1"/>
        <v>2141.8899999999994</v>
      </c>
    </row>
    <row r="40" spans="1:18" x14ac:dyDescent="0.3">
      <c r="A40" t="s">
        <v>84</v>
      </c>
      <c r="B40" s="1">
        <v>45337</v>
      </c>
      <c r="C40" t="s">
        <v>20</v>
      </c>
      <c r="D40" t="s">
        <v>28</v>
      </c>
      <c r="E40">
        <v>14</v>
      </c>
      <c r="F40" s="3">
        <v>428.13</v>
      </c>
      <c r="G40" s="6" t="s">
        <v>31</v>
      </c>
      <c r="H40" s="6" t="s">
        <v>34</v>
      </c>
      <c r="I40" s="10">
        <v>0.1</v>
      </c>
      <c r="J40" s="6" t="s">
        <v>40</v>
      </c>
      <c r="K40" s="6" t="s">
        <v>45</v>
      </c>
      <c r="L40" s="12">
        <v>1</v>
      </c>
      <c r="M40" s="6" t="s">
        <v>283</v>
      </c>
      <c r="N40" s="3">
        <v>24.77</v>
      </c>
      <c r="O40" s="8">
        <v>45337</v>
      </c>
      <c r="P40" s="8">
        <v>45347</v>
      </c>
      <c r="Q40" s="6" t="s">
        <v>446</v>
      </c>
      <c r="R40" s="3">
        <f t="shared" si="1"/>
        <v>6018.49</v>
      </c>
    </row>
    <row r="41" spans="1:18" x14ac:dyDescent="0.3">
      <c r="A41" t="s">
        <v>85</v>
      </c>
      <c r="B41" s="1">
        <v>45086</v>
      </c>
      <c r="C41" t="s">
        <v>20</v>
      </c>
      <c r="D41" t="s">
        <v>22</v>
      </c>
      <c r="E41">
        <v>2</v>
      </c>
      <c r="F41" s="3">
        <v>503.28</v>
      </c>
      <c r="G41" s="6" t="s">
        <v>32</v>
      </c>
      <c r="H41" s="6" t="s">
        <v>34</v>
      </c>
      <c r="I41" s="10">
        <v>0.15</v>
      </c>
      <c r="J41" s="6" t="s">
        <v>36</v>
      </c>
      <c r="K41" s="6" t="s">
        <v>42</v>
      </c>
      <c r="L41" s="12">
        <v>0</v>
      </c>
      <c r="M41" s="6" t="s">
        <v>284</v>
      </c>
      <c r="N41" s="3">
        <v>34.79</v>
      </c>
      <c r="O41" s="8">
        <v>45086</v>
      </c>
      <c r="P41" s="8">
        <v>45094</v>
      </c>
      <c r="Q41" s="6" t="s">
        <v>446</v>
      </c>
      <c r="R41" s="3">
        <f t="shared" si="1"/>
        <v>1041.2</v>
      </c>
    </row>
    <row r="42" spans="1:18" x14ac:dyDescent="0.3">
      <c r="A42" t="s">
        <v>86</v>
      </c>
      <c r="B42" s="1">
        <v>45148</v>
      </c>
      <c r="C42" t="s">
        <v>18</v>
      </c>
      <c r="D42" t="s">
        <v>28</v>
      </c>
      <c r="E42">
        <v>5</v>
      </c>
      <c r="F42" s="3">
        <v>470.32</v>
      </c>
      <c r="G42" s="6" t="s">
        <v>30</v>
      </c>
      <c r="H42" s="6" t="s">
        <v>34</v>
      </c>
      <c r="I42" s="10">
        <v>0.1</v>
      </c>
      <c r="J42" s="6" t="s">
        <v>35</v>
      </c>
      <c r="K42" s="6" t="s">
        <v>44</v>
      </c>
      <c r="L42" s="12">
        <v>0</v>
      </c>
      <c r="M42" s="6" t="s">
        <v>285</v>
      </c>
      <c r="N42" s="3">
        <v>17.77</v>
      </c>
      <c r="O42" s="8">
        <v>45148</v>
      </c>
      <c r="P42" s="8">
        <v>45152</v>
      </c>
      <c r="Q42" s="6" t="s">
        <v>444</v>
      </c>
      <c r="R42" s="3">
        <f t="shared" si="1"/>
        <v>2369.27</v>
      </c>
    </row>
    <row r="43" spans="1:18" x14ac:dyDescent="0.3">
      <c r="A43" t="s">
        <v>87</v>
      </c>
      <c r="B43" s="1">
        <v>45459</v>
      </c>
      <c r="C43" t="s">
        <v>20</v>
      </c>
      <c r="D43" t="s">
        <v>28</v>
      </c>
      <c r="E43">
        <v>20</v>
      </c>
      <c r="F43" s="3">
        <v>65.17</v>
      </c>
      <c r="G43" s="6" t="s">
        <v>31</v>
      </c>
      <c r="H43" s="6" t="s">
        <v>33</v>
      </c>
      <c r="I43" s="10">
        <v>0.05</v>
      </c>
      <c r="J43" s="6" t="s">
        <v>35</v>
      </c>
      <c r="K43" s="6" t="s">
        <v>42</v>
      </c>
      <c r="L43" s="12">
        <v>0</v>
      </c>
      <c r="M43" s="6" t="s">
        <v>286</v>
      </c>
      <c r="N43" s="3">
        <v>21.72</v>
      </c>
      <c r="O43" s="8">
        <v>45459</v>
      </c>
      <c r="P43" s="8">
        <v>45468</v>
      </c>
      <c r="Q43" s="6" t="s">
        <v>446</v>
      </c>
      <c r="R43" s="3">
        <f t="shared" si="1"/>
        <v>1325.0700000000002</v>
      </c>
    </row>
    <row r="44" spans="1:18" x14ac:dyDescent="0.3">
      <c r="A44" t="s">
        <v>88</v>
      </c>
      <c r="B44" s="1">
        <v>45130</v>
      </c>
      <c r="C44" t="s">
        <v>18</v>
      </c>
      <c r="D44" t="s">
        <v>22</v>
      </c>
      <c r="E44">
        <v>12</v>
      </c>
      <c r="F44" s="3">
        <v>36.17</v>
      </c>
      <c r="G44" s="6" t="s">
        <v>30</v>
      </c>
      <c r="H44" s="6" t="s">
        <v>34</v>
      </c>
      <c r="I44" s="10">
        <v>0</v>
      </c>
      <c r="J44" s="6" t="s">
        <v>35</v>
      </c>
      <c r="K44" s="6" t="s">
        <v>41</v>
      </c>
      <c r="L44" s="12">
        <v>0</v>
      </c>
      <c r="M44" s="6" t="s">
        <v>287</v>
      </c>
      <c r="N44" s="3">
        <v>34.85</v>
      </c>
      <c r="O44" s="8">
        <v>45130</v>
      </c>
      <c r="P44" s="8">
        <v>45133</v>
      </c>
      <c r="Q44" s="6" t="s">
        <v>444</v>
      </c>
      <c r="R44" s="3">
        <f t="shared" si="1"/>
        <v>468.89000000000004</v>
      </c>
    </row>
    <row r="45" spans="1:18" x14ac:dyDescent="0.3">
      <c r="A45" t="s">
        <v>89</v>
      </c>
      <c r="B45" s="1">
        <v>45066</v>
      </c>
      <c r="C45" t="s">
        <v>20</v>
      </c>
      <c r="D45" t="s">
        <v>28</v>
      </c>
      <c r="E45">
        <v>4</v>
      </c>
      <c r="F45" s="3">
        <v>459.31</v>
      </c>
      <c r="G45" s="6" t="s">
        <v>32</v>
      </c>
      <c r="H45" s="6" t="s">
        <v>33</v>
      </c>
      <c r="I45" s="10">
        <v>0.15</v>
      </c>
      <c r="J45" s="6" t="s">
        <v>38</v>
      </c>
      <c r="K45" s="6" t="s">
        <v>42</v>
      </c>
      <c r="L45" s="12">
        <v>1</v>
      </c>
      <c r="M45" s="6" t="s">
        <v>288</v>
      </c>
      <c r="N45" s="3">
        <v>27.39</v>
      </c>
      <c r="O45" s="8">
        <v>45066</v>
      </c>
      <c r="P45" s="8">
        <v>45073</v>
      </c>
      <c r="Q45" s="6" t="s">
        <v>446</v>
      </c>
      <c r="R45" s="3">
        <f t="shared" si="1"/>
        <v>1864.48</v>
      </c>
    </row>
    <row r="46" spans="1:18" x14ac:dyDescent="0.3">
      <c r="A46" t="s">
        <v>90</v>
      </c>
      <c r="B46" s="1">
        <v>45107</v>
      </c>
      <c r="C46" t="s">
        <v>18</v>
      </c>
      <c r="D46" t="s">
        <v>22</v>
      </c>
      <c r="E46">
        <v>2</v>
      </c>
      <c r="F46" s="3">
        <v>416.06</v>
      </c>
      <c r="G46" s="6" t="s">
        <v>32</v>
      </c>
      <c r="H46" s="6" t="s">
        <v>34</v>
      </c>
      <c r="I46" s="10">
        <v>0.05</v>
      </c>
      <c r="J46" s="6" t="s">
        <v>35</v>
      </c>
      <c r="K46" s="6" t="s">
        <v>44</v>
      </c>
      <c r="L46" s="12">
        <v>0</v>
      </c>
      <c r="M46" s="6" t="s">
        <v>289</v>
      </c>
      <c r="N46" s="3">
        <v>11.62</v>
      </c>
      <c r="O46" s="8">
        <v>45107</v>
      </c>
      <c r="P46" s="8">
        <v>45111</v>
      </c>
      <c r="Q46" s="6" t="s">
        <v>444</v>
      </c>
      <c r="R46" s="3">
        <f t="shared" si="1"/>
        <v>843.69</v>
      </c>
    </row>
    <row r="47" spans="1:18" x14ac:dyDescent="0.3">
      <c r="A47" t="s">
        <v>91</v>
      </c>
      <c r="B47" s="1">
        <v>45447</v>
      </c>
      <c r="C47" t="s">
        <v>18</v>
      </c>
      <c r="D47" t="s">
        <v>27</v>
      </c>
      <c r="E47">
        <v>16</v>
      </c>
      <c r="F47" s="3">
        <v>302.58</v>
      </c>
      <c r="G47" s="6" t="s">
        <v>32</v>
      </c>
      <c r="H47" s="6" t="s">
        <v>34</v>
      </c>
      <c r="I47" s="10">
        <v>0</v>
      </c>
      <c r="J47" s="6" t="s">
        <v>36</v>
      </c>
      <c r="K47" s="6" t="s">
        <v>41</v>
      </c>
      <c r="L47" s="12">
        <v>1</v>
      </c>
      <c r="M47" s="6" t="s">
        <v>290</v>
      </c>
      <c r="N47" s="3">
        <v>20.76</v>
      </c>
      <c r="O47" s="8">
        <v>45447</v>
      </c>
      <c r="P47" s="8">
        <v>45457</v>
      </c>
      <c r="Q47" s="6" t="s">
        <v>444</v>
      </c>
      <c r="R47" s="3">
        <f t="shared" si="1"/>
        <v>4862.04</v>
      </c>
    </row>
    <row r="48" spans="1:18" x14ac:dyDescent="0.3">
      <c r="A48" t="s">
        <v>92</v>
      </c>
      <c r="B48" s="1">
        <v>45691</v>
      </c>
      <c r="C48" t="s">
        <v>21</v>
      </c>
      <c r="D48" t="s">
        <v>25</v>
      </c>
      <c r="E48">
        <v>11</v>
      </c>
      <c r="F48" s="3">
        <v>33.130000000000003</v>
      </c>
      <c r="G48" s="6" t="s">
        <v>30</v>
      </c>
      <c r="H48" s="6" t="s">
        <v>34</v>
      </c>
      <c r="I48" s="10">
        <v>0.15</v>
      </c>
      <c r="J48" s="6" t="s">
        <v>37</v>
      </c>
      <c r="K48" s="6" t="s">
        <v>41</v>
      </c>
      <c r="L48" s="12">
        <v>0</v>
      </c>
      <c r="M48" s="6" t="s">
        <v>291</v>
      </c>
      <c r="N48" s="3">
        <v>24.95</v>
      </c>
      <c r="O48" s="8">
        <v>45691</v>
      </c>
      <c r="P48" s="8">
        <v>45693</v>
      </c>
      <c r="Q48" s="6" t="s">
        <v>447</v>
      </c>
      <c r="R48" s="3">
        <f t="shared" si="1"/>
        <v>389.23</v>
      </c>
    </row>
    <row r="49" spans="1:18" x14ac:dyDescent="0.3">
      <c r="A49" t="s">
        <v>93</v>
      </c>
      <c r="B49" s="1">
        <v>45300</v>
      </c>
      <c r="C49" t="s">
        <v>17</v>
      </c>
      <c r="D49" t="s">
        <v>27</v>
      </c>
      <c r="E49">
        <v>8</v>
      </c>
      <c r="F49" s="3">
        <v>582.52</v>
      </c>
      <c r="G49" s="6" t="s">
        <v>32</v>
      </c>
      <c r="H49" s="6" t="s">
        <v>34</v>
      </c>
      <c r="I49" s="10">
        <v>0.15</v>
      </c>
      <c r="J49" s="6" t="s">
        <v>37</v>
      </c>
      <c r="K49" s="6" t="s">
        <v>42</v>
      </c>
      <c r="L49" s="12">
        <v>0</v>
      </c>
      <c r="M49" s="6" t="s">
        <v>292</v>
      </c>
      <c r="N49" s="3">
        <v>6.47</v>
      </c>
      <c r="O49" s="8">
        <v>45300</v>
      </c>
      <c r="P49" s="8">
        <v>45304</v>
      </c>
      <c r="Q49" s="6" t="s">
        <v>443</v>
      </c>
      <c r="R49" s="3">
        <f t="shared" si="1"/>
        <v>4666.4800000000005</v>
      </c>
    </row>
    <row r="50" spans="1:18" x14ac:dyDescent="0.3">
      <c r="A50" t="s">
        <v>94</v>
      </c>
      <c r="B50" s="1">
        <v>45365</v>
      </c>
      <c r="C50" t="s">
        <v>19</v>
      </c>
      <c r="D50" t="s">
        <v>24</v>
      </c>
      <c r="E50">
        <v>5</v>
      </c>
      <c r="F50" s="3">
        <v>165.15</v>
      </c>
      <c r="G50" s="6" t="s">
        <v>30</v>
      </c>
      <c r="H50" s="6" t="s">
        <v>34</v>
      </c>
      <c r="I50" s="10">
        <v>0.1</v>
      </c>
      <c r="J50" s="6" t="s">
        <v>35</v>
      </c>
      <c r="K50" s="6" t="s">
        <v>42</v>
      </c>
      <c r="L50" s="12">
        <v>0</v>
      </c>
      <c r="M50" s="6" t="s">
        <v>293</v>
      </c>
      <c r="N50" s="3">
        <v>20.57</v>
      </c>
      <c r="O50" s="8">
        <v>45365</v>
      </c>
      <c r="P50" s="8">
        <v>45367</v>
      </c>
      <c r="Q50" s="6" t="s">
        <v>445</v>
      </c>
      <c r="R50" s="3">
        <f t="shared" si="1"/>
        <v>846.22</v>
      </c>
    </row>
    <row r="51" spans="1:18" x14ac:dyDescent="0.3">
      <c r="A51" t="s">
        <v>95</v>
      </c>
      <c r="B51" s="1">
        <v>45541</v>
      </c>
      <c r="C51" t="s">
        <v>21</v>
      </c>
      <c r="D51" t="s">
        <v>26</v>
      </c>
      <c r="E51">
        <v>14</v>
      </c>
      <c r="F51" s="3">
        <v>242.82</v>
      </c>
      <c r="G51" s="6" t="s">
        <v>32</v>
      </c>
      <c r="H51" s="6" t="s">
        <v>33</v>
      </c>
      <c r="I51" s="10">
        <v>0.15</v>
      </c>
      <c r="J51" s="6" t="s">
        <v>36</v>
      </c>
      <c r="K51" s="6" t="s">
        <v>45</v>
      </c>
      <c r="L51" s="12">
        <v>1</v>
      </c>
      <c r="M51" s="6" t="s">
        <v>294</v>
      </c>
      <c r="N51" s="3">
        <v>20.71</v>
      </c>
      <c r="O51" s="8">
        <v>45541</v>
      </c>
      <c r="P51" s="8">
        <v>45548</v>
      </c>
      <c r="Q51" s="6" t="s">
        <v>447</v>
      </c>
      <c r="R51" s="3">
        <f t="shared" si="1"/>
        <v>3420.04</v>
      </c>
    </row>
    <row r="52" spans="1:18" x14ac:dyDescent="0.3">
      <c r="A52" t="s">
        <v>96</v>
      </c>
      <c r="B52" s="1">
        <v>45002</v>
      </c>
      <c r="C52" t="s">
        <v>17</v>
      </c>
      <c r="D52" t="s">
        <v>26</v>
      </c>
      <c r="E52">
        <v>13</v>
      </c>
      <c r="F52" s="3">
        <v>65.989999999999995</v>
      </c>
      <c r="G52" s="6" t="s">
        <v>30</v>
      </c>
      <c r="H52" s="6" t="s">
        <v>33</v>
      </c>
      <c r="I52" s="10">
        <v>0.1</v>
      </c>
      <c r="J52" s="6" t="s">
        <v>37</v>
      </c>
      <c r="K52" s="6" t="s">
        <v>45</v>
      </c>
      <c r="L52" s="12">
        <v>0</v>
      </c>
      <c r="M52" s="6" t="s">
        <v>295</v>
      </c>
      <c r="N52" s="3">
        <v>12.87</v>
      </c>
      <c r="O52" s="8">
        <v>45002</v>
      </c>
      <c r="P52" s="8">
        <v>45005</v>
      </c>
      <c r="Q52" s="6" t="s">
        <v>443</v>
      </c>
      <c r="R52" s="3">
        <f t="shared" si="1"/>
        <v>870.63999999999987</v>
      </c>
    </row>
    <row r="53" spans="1:18" x14ac:dyDescent="0.3">
      <c r="A53" t="s">
        <v>97</v>
      </c>
      <c r="B53" s="1">
        <v>45674</v>
      </c>
      <c r="C53" t="s">
        <v>21</v>
      </c>
      <c r="D53" t="s">
        <v>25</v>
      </c>
      <c r="E53">
        <v>2</v>
      </c>
      <c r="F53" s="3">
        <v>251.69</v>
      </c>
      <c r="G53" s="6" t="s">
        <v>31</v>
      </c>
      <c r="H53" s="6" t="s">
        <v>33</v>
      </c>
      <c r="I53" s="10">
        <v>0</v>
      </c>
      <c r="J53" s="6" t="s">
        <v>36</v>
      </c>
      <c r="K53" s="6" t="s">
        <v>44</v>
      </c>
      <c r="L53" s="12">
        <v>0</v>
      </c>
      <c r="M53" s="6" t="s">
        <v>296</v>
      </c>
      <c r="N53" s="3">
        <v>42.49</v>
      </c>
      <c r="O53" s="8">
        <v>45674</v>
      </c>
      <c r="P53" s="8">
        <v>45681</v>
      </c>
      <c r="Q53" s="6" t="s">
        <v>447</v>
      </c>
      <c r="R53" s="3">
        <f t="shared" si="1"/>
        <v>545.87</v>
      </c>
    </row>
    <row r="54" spans="1:18" x14ac:dyDescent="0.3">
      <c r="A54" t="s">
        <v>98</v>
      </c>
      <c r="B54" s="1">
        <v>45547</v>
      </c>
      <c r="C54" t="s">
        <v>18</v>
      </c>
      <c r="D54" t="s">
        <v>22</v>
      </c>
      <c r="E54">
        <v>1</v>
      </c>
      <c r="F54" s="3">
        <v>269.41000000000003</v>
      </c>
      <c r="G54" s="6" t="s">
        <v>29</v>
      </c>
      <c r="H54" s="6" t="s">
        <v>33</v>
      </c>
      <c r="I54" s="10">
        <v>0.1</v>
      </c>
      <c r="J54" s="6" t="s">
        <v>35</v>
      </c>
      <c r="K54" s="6" t="s">
        <v>45</v>
      </c>
      <c r="L54" s="12">
        <v>1</v>
      </c>
      <c r="M54" s="6" t="s">
        <v>297</v>
      </c>
      <c r="N54" s="3">
        <v>19.22</v>
      </c>
      <c r="O54" s="8">
        <v>45547</v>
      </c>
      <c r="P54" s="8">
        <v>45553</v>
      </c>
      <c r="Q54" s="6" t="s">
        <v>444</v>
      </c>
      <c r="R54" s="3">
        <f t="shared" si="1"/>
        <v>288.52999999999997</v>
      </c>
    </row>
    <row r="55" spans="1:18" x14ac:dyDescent="0.3">
      <c r="A55" t="s">
        <v>99</v>
      </c>
      <c r="B55" s="1">
        <v>45296</v>
      </c>
      <c r="C55" t="s">
        <v>18</v>
      </c>
      <c r="D55" t="s">
        <v>26</v>
      </c>
      <c r="E55">
        <v>2</v>
      </c>
      <c r="F55" s="3">
        <v>371.3</v>
      </c>
      <c r="G55" s="6" t="s">
        <v>29</v>
      </c>
      <c r="H55" s="6" t="s">
        <v>33</v>
      </c>
      <c r="I55" s="10">
        <v>0.05</v>
      </c>
      <c r="J55" s="6" t="s">
        <v>40</v>
      </c>
      <c r="K55" s="6" t="s">
        <v>43</v>
      </c>
      <c r="L55" s="12">
        <v>0</v>
      </c>
      <c r="M55" s="6" t="s">
        <v>298</v>
      </c>
      <c r="N55" s="3">
        <v>36.51</v>
      </c>
      <c r="O55" s="8">
        <v>45296</v>
      </c>
      <c r="P55" s="8">
        <v>45306</v>
      </c>
      <c r="Q55" s="6" t="s">
        <v>444</v>
      </c>
      <c r="R55" s="3">
        <f t="shared" si="1"/>
        <v>779.06000000000006</v>
      </c>
    </row>
    <row r="56" spans="1:18" x14ac:dyDescent="0.3">
      <c r="A56" t="s">
        <v>100</v>
      </c>
      <c r="B56" s="1">
        <v>45401</v>
      </c>
      <c r="C56" t="s">
        <v>21</v>
      </c>
      <c r="D56" t="s">
        <v>27</v>
      </c>
      <c r="E56">
        <v>11</v>
      </c>
      <c r="F56" s="3">
        <v>288.24</v>
      </c>
      <c r="G56" s="6" t="s">
        <v>30</v>
      </c>
      <c r="H56" s="6" t="s">
        <v>33</v>
      </c>
      <c r="I56" s="10">
        <v>0.15</v>
      </c>
      <c r="J56" s="6" t="s">
        <v>39</v>
      </c>
      <c r="K56" s="6" t="s">
        <v>41</v>
      </c>
      <c r="L56" s="12">
        <v>0</v>
      </c>
      <c r="M56" s="6" t="s">
        <v>299</v>
      </c>
      <c r="N56" s="3">
        <v>37.39</v>
      </c>
      <c r="O56" s="8">
        <v>45401</v>
      </c>
      <c r="P56" s="8">
        <v>45407</v>
      </c>
      <c r="Q56" s="6" t="s">
        <v>447</v>
      </c>
      <c r="R56" s="3">
        <f t="shared" si="1"/>
        <v>3207.88</v>
      </c>
    </row>
    <row r="57" spans="1:18" x14ac:dyDescent="0.3">
      <c r="A57" t="s">
        <v>101</v>
      </c>
      <c r="B57" s="1">
        <v>45819</v>
      </c>
      <c r="C57" t="s">
        <v>20</v>
      </c>
      <c r="D57" t="s">
        <v>27</v>
      </c>
      <c r="E57">
        <v>11</v>
      </c>
      <c r="F57" s="3">
        <v>232.75</v>
      </c>
      <c r="G57" s="6" t="s">
        <v>32</v>
      </c>
      <c r="H57" s="6" t="s">
        <v>33</v>
      </c>
      <c r="I57" s="10">
        <v>0.05</v>
      </c>
      <c r="J57" s="6" t="s">
        <v>35</v>
      </c>
      <c r="K57" s="6" t="s">
        <v>43</v>
      </c>
      <c r="L57" s="12">
        <v>0</v>
      </c>
      <c r="M57" s="6" t="s">
        <v>300</v>
      </c>
      <c r="N57" s="3">
        <v>36.33</v>
      </c>
      <c r="O57" s="8">
        <v>45819</v>
      </c>
      <c r="P57" s="8">
        <v>45829</v>
      </c>
      <c r="Q57" s="6" t="s">
        <v>446</v>
      </c>
      <c r="R57" s="3">
        <f t="shared" si="1"/>
        <v>2596.5299999999997</v>
      </c>
    </row>
    <row r="58" spans="1:18" x14ac:dyDescent="0.3">
      <c r="A58" t="s">
        <v>102</v>
      </c>
      <c r="B58" s="1">
        <v>45722</v>
      </c>
      <c r="C58" t="s">
        <v>17</v>
      </c>
      <c r="D58" t="s">
        <v>23</v>
      </c>
      <c r="E58">
        <v>17</v>
      </c>
      <c r="F58" s="3">
        <v>146.28</v>
      </c>
      <c r="G58" s="6" t="s">
        <v>29</v>
      </c>
      <c r="H58" s="6" t="s">
        <v>34</v>
      </c>
      <c r="I58" s="10">
        <v>0.15</v>
      </c>
      <c r="J58" s="6" t="s">
        <v>38</v>
      </c>
      <c r="K58" s="6" t="s">
        <v>45</v>
      </c>
      <c r="L58" s="12">
        <v>0</v>
      </c>
      <c r="M58" s="6" t="s">
        <v>301</v>
      </c>
      <c r="N58" s="3">
        <v>7.84</v>
      </c>
      <c r="O58" s="8">
        <v>45722</v>
      </c>
      <c r="P58" s="8">
        <v>45731</v>
      </c>
      <c r="Q58" s="6" t="s">
        <v>443</v>
      </c>
      <c r="R58" s="3">
        <f t="shared" si="1"/>
        <v>2494.4500000000003</v>
      </c>
    </row>
    <row r="59" spans="1:18" x14ac:dyDescent="0.3">
      <c r="A59" t="s">
        <v>103</v>
      </c>
      <c r="B59" s="1">
        <v>45070</v>
      </c>
      <c r="C59" t="s">
        <v>17</v>
      </c>
      <c r="D59" t="s">
        <v>25</v>
      </c>
      <c r="E59">
        <v>5</v>
      </c>
      <c r="F59" s="3">
        <v>100.38</v>
      </c>
      <c r="G59" s="6" t="s">
        <v>31</v>
      </c>
      <c r="H59" s="6" t="s">
        <v>34</v>
      </c>
      <c r="I59" s="10">
        <v>0.1</v>
      </c>
      <c r="J59" s="6" t="s">
        <v>35</v>
      </c>
      <c r="K59" s="6" t="s">
        <v>42</v>
      </c>
      <c r="L59" s="12">
        <v>1</v>
      </c>
      <c r="M59" s="6" t="s">
        <v>302</v>
      </c>
      <c r="N59" s="3">
        <v>18.350000000000001</v>
      </c>
      <c r="O59" s="8">
        <v>45070</v>
      </c>
      <c r="P59" s="8">
        <v>45072</v>
      </c>
      <c r="Q59" s="6" t="s">
        <v>443</v>
      </c>
      <c r="R59" s="3">
        <f t="shared" si="1"/>
        <v>520.15</v>
      </c>
    </row>
    <row r="60" spans="1:18" x14ac:dyDescent="0.3">
      <c r="A60" t="s">
        <v>104</v>
      </c>
      <c r="B60" s="1">
        <v>44953</v>
      </c>
      <c r="C60" t="s">
        <v>18</v>
      </c>
      <c r="D60" t="s">
        <v>23</v>
      </c>
      <c r="E60">
        <v>11</v>
      </c>
      <c r="F60" s="3">
        <v>375.48</v>
      </c>
      <c r="G60" s="6" t="s">
        <v>29</v>
      </c>
      <c r="H60" s="6" t="s">
        <v>34</v>
      </c>
      <c r="I60" s="10">
        <v>0.05</v>
      </c>
      <c r="J60" s="6" t="s">
        <v>40</v>
      </c>
      <c r="K60" s="6" t="s">
        <v>44</v>
      </c>
      <c r="L60" s="12">
        <v>0</v>
      </c>
      <c r="M60" s="6" t="s">
        <v>303</v>
      </c>
      <c r="N60" s="3">
        <v>15.95</v>
      </c>
      <c r="O60" s="8">
        <v>44953</v>
      </c>
      <c r="P60" s="8">
        <v>44960</v>
      </c>
      <c r="Q60" s="6" t="s">
        <v>444</v>
      </c>
      <c r="R60" s="3">
        <f t="shared" si="1"/>
        <v>4146.18</v>
      </c>
    </row>
    <row r="61" spans="1:18" x14ac:dyDescent="0.3">
      <c r="A61" t="s">
        <v>105</v>
      </c>
      <c r="B61" s="1">
        <v>45372</v>
      </c>
      <c r="C61" t="s">
        <v>18</v>
      </c>
      <c r="D61" t="s">
        <v>22</v>
      </c>
      <c r="E61">
        <v>18</v>
      </c>
      <c r="F61" s="3">
        <v>316.89</v>
      </c>
      <c r="G61" s="6" t="s">
        <v>29</v>
      </c>
      <c r="H61" s="6" t="s">
        <v>33</v>
      </c>
      <c r="I61" s="10">
        <v>0.05</v>
      </c>
      <c r="J61" s="6" t="s">
        <v>40</v>
      </c>
      <c r="K61" s="6" t="s">
        <v>45</v>
      </c>
      <c r="L61" s="12">
        <v>0</v>
      </c>
      <c r="M61" s="6" t="s">
        <v>304</v>
      </c>
      <c r="N61" s="3">
        <v>15.69</v>
      </c>
      <c r="O61" s="8">
        <v>45372</v>
      </c>
      <c r="P61" s="8">
        <v>45378</v>
      </c>
      <c r="Q61" s="6" t="s">
        <v>444</v>
      </c>
      <c r="R61" s="3">
        <f t="shared" si="1"/>
        <v>5719.6599999999989</v>
      </c>
    </row>
    <row r="62" spans="1:18" x14ac:dyDescent="0.3">
      <c r="A62" t="s">
        <v>106</v>
      </c>
      <c r="B62" s="1">
        <v>45682</v>
      </c>
      <c r="C62" t="s">
        <v>21</v>
      </c>
      <c r="D62" t="s">
        <v>22</v>
      </c>
      <c r="E62">
        <v>20</v>
      </c>
      <c r="F62" s="3">
        <v>295.06</v>
      </c>
      <c r="G62" s="6" t="s">
        <v>32</v>
      </c>
      <c r="H62" s="6" t="s">
        <v>34</v>
      </c>
      <c r="I62" s="10">
        <v>0.15</v>
      </c>
      <c r="J62" s="6" t="s">
        <v>37</v>
      </c>
      <c r="K62" s="6" t="s">
        <v>41</v>
      </c>
      <c r="L62" s="12">
        <v>1</v>
      </c>
      <c r="M62" s="6" t="s">
        <v>305</v>
      </c>
      <c r="N62" s="3">
        <v>13.66</v>
      </c>
      <c r="O62" s="8">
        <v>45682</v>
      </c>
      <c r="P62" s="8">
        <v>45688</v>
      </c>
      <c r="Q62" s="6" t="s">
        <v>447</v>
      </c>
      <c r="R62" s="3">
        <f t="shared" si="1"/>
        <v>5914.71</v>
      </c>
    </row>
    <row r="63" spans="1:18" x14ac:dyDescent="0.3">
      <c r="A63" t="s">
        <v>107</v>
      </c>
      <c r="B63" s="1">
        <v>45089</v>
      </c>
      <c r="C63" t="s">
        <v>20</v>
      </c>
      <c r="D63" t="s">
        <v>23</v>
      </c>
      <c r="E63">
        <v>8</v>
      </c>
      <c r="F63" s="3">
        <v>301.68</v>
      </c>
      <c r="G63" s="6" t="s">
        <v>32</v>
      </c>
      <c r="H63" s="6" t="s">
        <v>34</v>
      </c>
      <c r="I63" s="10">
        <v>0</v>
      </c>
      <c r="J63" s="6" t="s">
        <v>35</v>
      </c>
      <c r="K63" s="6" t="s">
        <v>45</v>
      </c>
      <c r="L63" s="12">
        <v>0</v>
      </c>
      <c r="M63" s="6" t="s">
        <v>306</v>
      </c>
      <c r="N63" s="3">
        <v>36.54</v>
      </c>
      <c r="O63" s="8">
        <v>45089</v>
      </c>
      <c r="P63" s="8">
        <v>45098</v>
      </c>
      <c r="Q63" s="6" t="s">
        <v>446</v>
      </c>
      <c r="R63" s="3">
        <f t="shared" si="1"/>
        <v>2449.98</v>
      </c>
    </row>
    <row r="64" spans="1:18" x14ac:dyDescent="0.3">
      <c r="A64" t="s">
        <v>108</v>
      </c>
      <c r="B64" s="1">
        <v>45738</v>
      </c>
      <c r="C64" t="s">
        <v>20</v>
      </c>
      <c r="D64" t="s">
        <v>25</v>
      </c>
      <c r="E64">
        <v>3</v>
      </c>
      <c r="F64" s="3">
        <v>475.39</v>
      </c>
      <c r="G64" s="6" t="s">
        <v>29</v>
      </c>
      <c r="H64" s="6" t="s">
        <v>34</v>
      </c>
      <c r="I64" s="10">
        <v>0.1</v>
      </c>
      <c r="J64" s="6" t="s">
        <v>36</v>
      </c>
      <c r="K64" s="6" t="s">
        <v>42</v>
      </c>
      <c r="L64" s="12">
        <v>0</v>
      </c>
      <c r="M64" s="6" t="s">
        <v>307</v>
      </c>
      <c r="N64" s="3">
        <v>15.62</v>
      </c>
      <c r="O64" s="8">
        <v>45738</v>
      </c>
      <c r="P64" s="8">
        <v>45742</v>
      </c>
      <c r="Q64" s="6" t="s">
        <v>446</v>
      </c>
      <c r="R64" s="3">
        <f t="shared" si="1"/>
        <v>1441.69</v>
      </c>
    </row>
    <row r="65" spans="1:18" x14ac:dyDescent="0.3">
      <c r="A65" t="s">
        <v>109</v>
      </c>
      <c r="B65" s="1">
        <v>45346</v>
      </c>
      <c r="C65" t="s">
        <v>20</v>
      </c>
      <c r="D65" t="s">
        <v>24</v>
      </c>
      <c r="E65">
        <v>16</v>
      </c>
      <c r="F65" s="3">
        <v>47.25</v>
      </c>
      <c r="G65" s="6" t="s">
        <v>32</v>
      </c>
      <c r="H65" s="6" t="s">
        <v>34</v>
      </c>
      <c r="I65" s="10">
        <v>0.15</v>
      </c>
      <c r="J65" s="6" t="s">
        <v>40</v>
      </c>
      <c r="K65" s="6" t="s">
        <v>44</v>
      </c>
      <c r="L65" s="12">
        <v>0</v>
      </c>
      <c r="M65" s="6" t="s">
        <v>308</v>
      </c>
      <c r="N65" s="3">
        <v>29.5</v>
      </c>
      <c r="O65" s="8">
        <v>45346</v>
      </c>
      <c r="P65" s="8">
        <v>45349</v>
      </c>
      <c r="Q65" s="6" t="s">
        <v>446</v>
      </c>
      <c r="R65" s="3">
        <f t="shared" si="1"/>
        <v>785.35</v>
      </c>
    </row>
    <row r="66" spans="1:18" x14ac:dyDescent="0.3">
      <c r="A66" t="s">
        <v>110</v>
      </c>
      <c r="B66" s="1">
        <v>45269</v>
      </c>
      <c r="C66" t="s">
        <v>18</v>
      </c>
      <c r="D66" t="s">
        <v>25</v>
      </c>
      <c r="E66">
        <v>15</v>
      </c>
      <c r="F66" s="3">
        <v>511.17</v>
      </c>
      <c r="G66" s="6" t="s">
        <v>29</v>
      </c>
      <c r="H66" s="6" t="s">
        <v>33</v>
      </c>
      <c r="I66" s="10">
        <v>0</v>
      </c>
      <c r="J66" s="6" t="s">
        <v>37</v>
      </c>
      <c r="K66" s="6" t="s">
        <v>41</v>
      </c>
      <c r="L66" s="12">
        <v>0</v>
      </c>
      <c r="M66" s="6" t="s">
        <v>309</v>
      </c>
      <c r="N66" s="3">
        <v>21.77</v>
      </c>
      <c r="O66" s="8">
        <v>45269</v>
      </c>
      <c r="P66" s="8">
        <v>45272</v>
      </c>
      <c r="Q66" s="6" t="s">
        <v>444</v>
      </c>
      <c r="R66" s="3">
        <f t="shared" ref="R66:R97" si="2">(E66*F66)-I66+N66</f>
        <v>7689.3200000000006</v>
      </c>
    </row>
    <row r="67" spans="1:18" x14ac:dyDescent="0.3">
      <c r="A67" t="s">
        <v>111</v>
      </c>
      <c r="B67" s="1">
        <v>45200</v>
      </c>
      <c r="C67" t="s">
        <v>20</v>
      </c>
      <c r="D67" t="s">
        <v>26</v>
      </c>
      <c r="E67">
        <v>3</v>
      </c>
      <c r="F67" s="3">
        <v>66.58</v>
      </c>
      <c r="G67" s="6" t="s">
        <v>29</v>
      </c>
      <c r="H67" s="6" t="s">
        <v>34</v>
      </c>
      <c r="I67" s="10">
        <v>0.1</v>
      </c>
      <c r="J67" s="6" t="s">
        <v>37</v>
      </c>
      <c r="K67" s="6" t="s">
        <v>44</v>
      </c>
      <c r="L67" s="12">
        <v>0</v>
      </c>
      <c r="M67" s="6" t="s">
        <v>310</v>
      </c>
      <c r="N67" s="3">
        <v>22.43</v>
      </c>
      <c r="O67" s="8">
        <v>45200</v>
      </c>
      <c r="P67" s="8">
        <v>45204</v>
      </c>
      <c r="Q67" s="6" t="s">
        <v>446</v>
      </c>
      <c r="R67" s="3">
        <f t="shared" si="2"/>
        <v>222.07000000000002</v>
      </c>
    </row>
    <row r="68" spans="1:18" x14ac:dyDescent="0.3">
      <c r="A68" t="s">
        <v>112</v>
      </c>
      <c r="B68" s="1">
        <v>45138</v>
      </c>
      <c r="C68" t="s">
        <v>21</v>
      </c>
      <c r="D68" t="s">
        <v>27</v>
      </c>
      <c r="E68">
        <v>5</v>
      </c>
      <c r="F68" s="3">
        <v>490.52</v>
      </c>
      <c r="G68" s="6" t="s">
        <v>32</v>
      </c>
      <c r="H68" s="6" t="s">
        <v>33</v>
      </c>
      <c r="I68" s="10">
        <v>0.05</v>
      </c>
      <c r="J68" s="6" t="s">
        <v>37</v>
      </c>
      <c r="K68" s="6" t="s">
        <v>41</v>
      </c>
      <c r="L68" s="12">
        <v>0</v>
      </c>
      <c r="M68" s="6" t="s">
        <v>311</v>
      </c>
      <c r="N68" s="3">
        <v>12.24</v>
      </c>
      <c r="O68" s="8">
        <v>45138</v>
      </c>
      <c r="P68" s="8">
        <v>45145</v>
      </c>
      <c r="Q68" s="6" t="s">
        <v>447</v>
      </c>
      <c r="R68" s="3">
        <f t="shared" si="2"/>
        <v>2464.7899999999995</v>
      </c>
    </row>
    <row r="69" spans="1:18" x14ac:dyDescent="0.3">
      <c r="A69" t="s">
        <v>113</v>
      </c>
      <c r="B69" s="1">
        <v>45650</v>
      </c>
      <c r="C69" t="s">
        <v>18</v>
      </c>
      <c r="D69" t="s">
        <v>25</v>
      </c>
      <c r="E69">
        <v>8</v>
      </c>
      <c r="F69" s="3">
        <v>405.96</v>
      </c>
      <c r="G69" s="6" t="s">
        <v>30</v>
      </c>
      <c r="H69" s="6" t="s">
        <v>33</v>
      </c>
      <c r="I69" s="10">
        <v>0.05</v>
      </c>
      <c r="J69" s="6" t="s">
        <v>38</v>
      </c>
      <c r="K69" s="6" t="s">
        <v>43</v>
      </c>
      <c r="L69" s="12">
        <v>0</v>
      </c>
      <c r="M69" s="6" t="s">
        <v>312</v>
      </c>
      <c r="N69" s="3">
        <v>41.27</v>
      </c>
      <c r="O69" s="8">
        <v>45650</v>
      </c>
      <c r="P69" s="8">
        <v>45657</v>
      </c>
      <c r="Q69" s="6" t="s">
        <v>444</v>
      </c>
      <c r="R69" s="3">
        <f t="shared" si="2"/>
        <v>3288.8999999999996</v>
      </c>
    </row>
    <row r="70" spans="1:18" x14ac:dyDescent="0.3">
      <c r="A70" t="s">
        <v>114</v>
      </c>
      <c r="B70" s="1">
        <v>45611</v>
      </c>
      <c r="C70" t="s">
        <v>19</v>
      </c>
      <c r="D70" t="s">
        <v>23</v>
      </c>
      <c r="E70">
        <v>1</v>
      </c>
      <c r="F70" s="3">
        <v>159.41</v>
      </c>
      <c r="G70" s="6" t="s">
        <v>29</v>
      </c>
      <c r="H70" s="6" t="s">
        <v>34</v>
      </c>
      <c r="I70" s="10">
        <v>0.1</v>
      </c>
      <c r="J70" s="6" t="s">
        <v>40</v>
      </c>
      <c r="K70" s="6" t="s">
        <v>43</v>
      </c>
      <c r="L70" s="12">
        <v>0</v>
      </c>
      <c r="M70" s="6" t="s">
        <v>313</v>
      </c>
      <c r="N70" s="3">
        <v>35.14</v>
      </c>
      <c r="O70" s="8">
        <v>45611</v>
      </c>
      <c r="P70" s="8">
        <v>45615</v>
      </c>
      <c r="Q70" s="6" t="s">
        <v>445</v>
      </c>
      <c r="R70" s="3">
        <f t="shared" si="2"/>
        <v>194.45</v>
      </c>
    </row>
    <row r="71" spans="1:18" x14ac:dyDescent="0.3">
      <c r="A71" t="s">
        <v>115</v>
      </c>
      <c r="B71" s="1">
        <v>45729</v>
      </c>
      <c r="C71" t="s">
        <v>21</v>
      </c>
      <c r="D71" t="s">
        <v>26</v>
      </c>
      <c r="E71">
        <v>16</v>
      </c>
      <c r="F71" s="3">
        <v>38.49</v>
      </c>
      <c r="G71" s="6" t="s">
        <v>31</v>
      </c>
      <c r="H71" s="6" t="s">
        <v>34</v>
      </c>
      <c r="I71" s="10">
        <v>0.15</v>
      </c>
      <c r="J71" s="6" t="s">
        <v>38</v>
      </c>
      <c r="K71" s="6" t="s">
        <v>44</v>
      </c>
      <c r="L71" s="12">
        <v>0</v>
      </c>
      <c r="M71" s="6" t="s">
        <v>314</v>
      </c>
      <c r="N71" s="3">
        <v>8.3800000000000008</v>
      </c>
      <c r="O71" s="8">
        <v>45729</v>
      </c>
      <c r="P71" s="8">
        <v>45738</v>
      </c>
      <c r="Q71" s="6" t="s">
        <v>447</v>
      </c>
      <c r="R71" s="3">
        <f t="shared" si="2"/>
        <v>624.07000000000005</v>
      </c>
    </row>
    <row r="72" spans="1:18" x14ac:dyDescent="0.3">
      <c r="A72" t="s">
        <v>116</v>
      </c>
      <c r="B72" s="1">
        <v>45354</v>
      </c>
      <c r="C72" t="s">
        <v>17</v>
      </c>
      <c r="D72" t="s">
        <v>27</v>
      </c>
      <c r="E72">
        <v>15</v>
      </c>
      <c r="F72" s="3">
        <v>328.36</v>
      </c>
      <c r="G72" s="6" t="s">
        <v>32</v>
      </c>
      <c r="H72" s="6" t="s">
        <v>34</v>
      </c>
      <c r="I72" s="10">
        <v>0.15</v>
      </c>
      <c r="J72" s="6" t="s">
        <v>36</v>
      </c>
      <c r="K72" s="6" t="s">
        <v>42</v>
      </c>
      <c r="L72" s="12">
        <v>0</v>
      </c>
      <c r="M72" s="6" t="s">
        <v>315</v>
      </c>
      <c r="N72" s="3">
        <v>15.76</v>
      </c>
      <c r="O72" s="8">
        <v>45354</v>
      </c>
      <c r="P72" s="8">
        <v>45363</v>
      </c>
      <c r="Q72" s="6" t="s">
        <v>443</v>
      </c>
      <c r="R72" s="3">
        <f t="shared" si="2"/>
        <v>4941.0100000000011</v>
      </c>
    </row>
    <row r="73" spans="1:18" x14ac:dyDescent="0.3">
      <c r="A73" t="s">
        <v>117</v>
      </c>
      <c r="B73" s="1">
        <v>44968</v>
      </c>
      <c r="C73" t="s">
        <v>20</v>
      </c>
      <c r="D73" t="s">
        <v>27</v>
      </c>
      <c r="E73">
        <v>20</v>
      </c>
      <c r="F73" s="3">
        <v>548.01</v>
      </c>
      <c r="G73" s="6" t="s">
        <v>30</v>
      </c>
      <c r="H73" s="6" t="s">
        <v>33</v>
      </c>
      <c r="I73" s="10">
        <v>0.1</v>
      </c>
      <c r="J73" s="6" t="s">
        <v>35</v>
      </c>
      <c r="K73" s="6" t="s">
        <v>43</v>
      </c>
      <c r="L73" s="12">
        <v>1</v>
      </c>
      <c r="M73" s="6" t="s">
        <v>316</v>
      </c>
      <c r="N73" s="3">
        <v>5.89</v>
      </c>
      <c r="O73" s="8">
        <v>44968</v>
      </c>
      <c r="P73" s="8">
        <v>44971</v>
      </c>
      <c r="Q73" s="6" t="s">
        <v>446</v>
      </c>
      <c r="R73" s="3">
        <f t="shared" si="2"/>
        <v>10965.99</v>
      </c>
    </row>
    <row r="74" spans="1:18" x14ac:dyDescent="0.3">
      <c r="A74" t="s">
        <v>118</v>
      </c>
      <c r="B74" s="1">
        <v>45225</v>
      </c>
      <c r="C74" t="s">
        <v>18</v>
      </c>
      <c r="D74" t="s">
        <v>24</v>
      </c>
      <c r="E74">
        <v>13</v>
      </c>
      <c r="F74" s="3">
        <v>484.45</v>
      </c>
      <c r="G74" s="6" t="s">
        <v>29</v>
      </c>
      <c r="H74" s="6" t="s">
        <v>33</v>
      </c>
      <c r="I74" s="10">
        <v>0.05</v>
      </c>
      <c r="J74" s="6" t="s">
        <v>38</v>
      </c>
      <c r="K74" s="6" t="s">
        <v>42</v>
      </c>
      <c r="L74" s="12">
        <v>1</v>
      </c>
      <c r="M74" s="6" t="s">
        <v>317</v>
      </c>
      <c r="N74" s="3">
        <v>6.57</v>
      </c>
      <c r="O74" s="8">
        <v>45225</v>
      </c>
      <c r="P74" s="8">
        <v>45235</v>
      </c>
      <c r="Q74" s="6" t="s">
        <v>444</v>
      </c>
      <c r="R74" s="3">
        <f t="shared" si="2"/>
        <v>6304.369999999999</v>
      </c>
    </row>
    <row r="75" spans="1:18" x14ac:dyDescent="0.3">
      <c r="A75" t="s">
        <v>119</v>
      </c>
      <c r="B75" s="1">
        <v>45220</v>
      </c>
      <c r="C75" t="s">
        <v>18</v>
      </c>
      <c r="D75" t="s">
        <v>26</v>
      </c>
      <c r="E75">
        <v>13</v>
      </c>
      <c r="F75" s="3">
        <v>195.84</v>
      </c>
      <c r="G75" s="6" t="s">
        <v>30</v>
      </c>
      <c r="H75" s="6" t="s">
        <v>33</v>
      </c>
      <c r="I75" s="10">
        <v>0.05</v>
      </c>
      <c r="J75" s="6" t="s">
        <v>36</v>
      </c>
      <c r="K75" s="6" t="s">
        <v>43</v>
      </c>
      <c r="L75" s="12">
        <v>0</v>
      </c>
      <c r="M75" s="6" t="s">
        <v>318</v>
      </c>
      <c r="N75" s="3">
        <v>33.520000000000003</v>
      </c>
      <c r="O75" s="8">
        <v>45220</v>
      </c>
      <c r="P75" s="8">
        <v>45227</v>
      </c>
      <c r="Q75" s="6" t="s">
        <v>444</v>
      </c>
      <c r="R75" s="3">
        <f t="shared" si="2"/>
        <v>2579.39</v>
      </c>
    </row>
    <row r="76" spans="1:18" x14ac:dyDescent="0.3">
      <c r="A76" t="s">
        <v>120</v>
      </c>
      <c r="B76" s="1">
        <v>45305</v>
      </c>
      <c r="C76" t="s">
        <v>20</v>
      </c>
      <c r="D76" t="s">
        <v>27</v>
      </c>
      <c r="E76">
        <v>19</v>
      </c>
      <c r="F76" s="3">
        <v>29.94</v>
      </c>
      <c r="G76" s="6" t="s">
        <v>32</v>
      </c>
      <c r="H76" s="6" t="s">
        <v>34</v>
      </c>
      <c r="I76" s="10">
        <v>0.15</v>
      </c>
      <c r="J76" s="6" t="s">
        <v>39</v>
      </c>
      <c r="K76" s="6" t="s">
        <v>44</v>
      </c>
      <c r="L76" s="12">
        <v>0</v>
      </c>
      <c r="M76" s="6" t="s">
        <v>319</v>
      </c>
      <c r="N76" s="3">
        <v>33.590000000000003</v>
      </c>
      <c r="O76" s="8">
        <v>45305</v>
      </c>
      <c r="P76" s="8">
        <v>45311</v>
      </c>
      <c r="Q76" s="6" t="s">
        <v>446</v>
      </c>
      <c r="R76" s="3">
        <f t="shared" si="2"/>
        <v>602.30000000000007</v>
      </c>
    </row>
    <row r="77" spans="1:18" x14ac:dyDescent="0.3">
      <c r="A77" t="s">
        <v>121</v>
      </c>
      <c r="B77" s="1">
        <v>45134</v>
      </c>
      <c r="C77" t="s">
        <v>20</v>
      </c>
      <c r="D77" t="s">
        <v>24</v>
      </c>
      <c r="E77">
        <v>10</v>
      </c>
      <c r="F77" s="3">
        <v>553.91</v>
      </c>
      <c r="G77" s="6" t="s">
        <v>32</v>
      </c>
      <c r="H77" s="6" t="s">
        <v>33</v>
      </c>
      <c r="I77" s="10">
        <v>0.1</v>
      </c>
      <c r="J77" s="6" t="s">
        <v>35</v>
      </c>
      <c r="K77" s="6" t="s">
        <v>41</v>
      </c>
      <c r="L77" s="12">
        <v>0</v>
      </c>
      <c r="M77" s="6" t="s">
        <v>320</v>
      </c>
      <c r="N77" s="3">
        <v>31.3</v>
      </c>
      <c r="O77" s="8">
        <v>45134</v>
      </c>
      <c r="P77" s="8">
        <v>45138</v>
      </c>
      <c r="Q77" s="6" t="s">
        <v>446</v>
      </c>
      <c r="R77" s="3">
        <f t="shared" si="2"/>
        <v>5570.2999999999993</v>
      </c>
    </row>
    <row r="78" spans="1:18" x14ac:dyDescent="0.3">
      <c r="A78" t="s">
        <v>122</v>
      </c>
      <c r="B78" s="1">
        <v>45588</v>
      </c>
      <c r="C78" t="s">
        <v>18</v>
      </c>
      <c r="D78" t="s">
        <v>23</v>
      </c>
      <c r="E78">
        <v>14</v>
      </c>
      <c r="F78" s="3">
        <v>445.52</v>
      </c>
      <c r="G78" s="6" t="s">
        <v>29</v>
      </c>
      <c r="H78" s="6" t="s">
        <v>34</v>
      </c>
      <c r="I78" s="10">
        <v>0.1</v>
      </c>
      <c r="J78" s="6" t="s">
        <v>40</v>
      </c>
      <c r="K78" s="6" t="s">
        <v>41</v>
      </c>
      <c r="L78" s="12">
        <v>0</v>
      </c>
      <c r="M78" s="6" t="s">
        <v>321</v>
      </c>
      <c r="N78" s="3">
        <v>14.41</v>
      </c>
      <c r="O78" s="8">
        <v>45588</v>
      </c>
      <c r="P78" s="8">
        <v>45590</v>
      </c>
      <c r="Q78" s="6" t="s">
        <v>444</v>
      </c>
      <c r="R78" s="3">
        <f t="shared" si="2"/>
        <v>6251.5899999999992</v>
      </c>
    </row>
    <row r="79" spans="1:18" x14ac:dyDescent="0.3">
      <c r="A79" t="s">
        <v>123</v>
      </c>
      <c r="B79" s="1">
        <v>45195</v>
      </c>
      <c r="C79" t="s">
        <v>18</v>
      </c>
      <c r="D79" t="s">
        <v>25</v>
      </c>
      <c r="E79">
        <v>5</v>
      </c>
      <c r="F79" s="3">
        <v>551.58000000000004</v>
      </c>
      <c r="G79" s="6" t="s">
        <v>29</v>
      </c>
      <c r="H79" s="6" t="s">
        <v>34</v>
      </c>
      <c r="I79" s="10">
        <v>0.15</v>
      </c>
      <c r="J79" s="6" t="s">
        <v>36</v>
      </c>
      <c r="K79" s="6" t="s">
        <v>41</v>
      </c>
      <c r="L79" s="12">
        <v>1</v>
      </c>
      <c r="M79" s="6" t="s">
        <v>322</v>
      </c>
      <c r="N79" s="3">
        <v>7.87</v>
      </c>
      <c r="O79" s="8">
        <v>45195</v>
      </c>
      <c r="P79" s="8">
        <v>45200</v>
      </c>
      <c r="Q79" s="6" t="s">
        <v>444</v>
      </c>
      <c r="R79" s="3">
        <f t="shared" si="2"/>
        <v>2765.62</v>
      </c>
    </row>
    <row r="80" spans="1:18" x14ac:dyDescent="0.3">
      <c r="A80" t="s">
        <v>124</v>
      </c>
      <c r="B80" s="1">
        <v>45276</v>
      </c>
      <c r="C80" t="s">
        <v>17</v>
      </c>
      <c r="D80" t="s">
        <v>23</v>
      </c>
      <c r="E80">
        <v>13</v>
      </c>
      <c r="F80" s="3">
        <v>241.4</v>
      </c>
      <c r="G80" s="6" t="s">
        <v>32</v>
      </c>
      <c r="H80" s="6" t="s">
        <v>34</v>
      </c>
      <c r="I80" s="10">
        <v>0</v>
      </c>
      <c r="J80" s="6" t="s">
        <v>38</v>
      </c>
      <c r="K80" s="6" t="s">
        <v>42</v>
      </c>
      <c r="L80" s="12">
        <v>0</v>
      </c>
      <c r="M80" s="6" t="s">
        <v>323</v>
      </c>
      <c r="N80" s="3">
        <v>49.05</v>
      </c>
      <c r="O80" s="8">
        <v>45276</v>
      </c>
      <c r="P80" s="8">
        <v>45280</v>
      </c>
      <c r="Q80" s="6" t="s">
        <v>443</v>
      </c>
      <c r="R80" s="3">
        <f t="shared" si="2"/>
        <v>3187.2500000000005</v>
      </c>
    </row>
    <row r="81" spans="1:18" x14ac:dyDescent="0.3">
      <c r="A81" t="s">
        <v>125</v>
      </c>
      <c r="B81" s="1">
        <v>45293</v>
      </c>
      <c r="C81" t="s">
        <v>20</v>
      </c>
      <c r="D81" t="s">
        <v>28</v>
      </c>
      <c r="E81">
        <v>19</v>
      </c>
      <c r="F81" s="3">
        <v>351.93</v>
      </c>
      <c r="G81" s="6" t="s">
        <v>30</v>
      </c>
      <c r="H81" s="6" t="s">
        <v>33</v>
      </c>
      <c r="I81" s="10">
        <v>0</v>
      </c>
      <c r="J81" s="6" t="s">
        <v>36</v>
      </c>
      <c r="K81" s="6" t="s">
        <v>43</v>
      </c>
      <c r="L81" s="12">
        <v>0</v>
      </c>
      <c r="M81" s="6" t="s">
        <v>324</v>
      </c>
      <c r="N81" s="3">
        <v>39.979999999999997</v>
      </c>
      <c r="O81" s="8">
        <v>45293</v>
      </c>
      <c r="P81" s="8">
        <v>45296</v>
      </c>
      <c r="Q81" s="6" t="s">
        <v>446</v>
      </c>
      <c r="R81" s="3">
        <f t="shared" si="2"/>
        <v>6726.65</v>
      </c>
    </row>
    <row r="82" spans="1:18" x14ac:dyDescent="0.3">
      <c r="A82" t="s">
        <v>126</v>
      </c>
      <c r="B82" s="1">
        <v>45338</v>
      </c>
      <c r="C82" t="s">
        <v>19</v>
      </c>
      <c r="D82" t="s">
        <v>23</v>
      </c>
      <c r="E82">
        <v>4</v>
      </c>
      <c r="F82" s="3">
        <v>83.75</v>
      </c>
      <c r="G82" s="6" t="s">
        <v>30</v>
      </c>
      <c r="H82" s="6" t="s">
        <v>34</v>
      </c>
      <c r="I82" s="10">
        <v>0.05</v>
      </c>
      <c r="J82" s="6" t="s">
        <v>36</v>
      </c>
      <c r="K82" s="6" t="s">
        <v>44</v>
      </c>
      <c r="L82" s="12">
        <v>1</v>
      </c>
      <c r="M82" s="6" t="s">
        <v>325</v>
      </c>
      <c r="N82" s="3">
        <v>38.82</v>
      </c>
      <c r="O82" s="8">
        <v>45338</v>
      </c>
      <c r="P82" s="8">
        <v>45347</v>
      </c>
      <c r="Q82" s="6" t="s">
        <v>445</v>
      </c>
      <c r="R82" s="3">
        <f t="shared" si="2"/>
        <v>373.77</v>
      </c>
    </row>
    <row r="83" spans="1:18" x14ac:dyDescent="0.3">
      <c r="A83" t="s">
        <v>127</v>
      </c>
      <c r="B83" s="1">
        <v>45415</v>
      </c>
      <c r="C83" t="s">
        <v>17</v>
      </c>
      <c r="D83" t="s">
        <v>26</v>
      </c>
      <c r="E83">
        <v>5</v>
      </c>
      <c r="F83" s="3">
        <v>416.95</v>
      </c>
      <c r="G83" s="6" t="s">
        <v>30</v>
      </c>
      <c r="H83" s="6" t="s">
        <v>33</v>
      </c>
      <c r="I83" s="10">
        <v>0.15</v>
      </c>
      <c r="J83" s="6" t="s">
        <v>37</v>
      </c>
      <c r="K83" s="6" t="s">
        <v>41</v>
      </c>
      <c r="L83" s="12">
        <v>1</v>
      </c>
      <c r="M83" s="6" t="s">
        <v>326</v>
      </c>
      <c r="N83" s="3">
        <v>24.03</v>
      </c>
      <c r="O83" s="8">
        <v>45415</v>
      </c>
      <c r="P83" s="8">
        <v>45424</v>
      </c>
      <c r="Q83" s="6" t="s">
        <v>443</v>
      </c>
      <c r="R83" s="3">
        <f t="shared" si="2"/>
        <v>2108.63</v>
      </c>
    </row>
    <row r="84" spans="1:18" x14ac:dyDescent="0.3">
      <c r="A84" t="s">
        <v>128</v>
      </c>
      <c r="B84" s="1">
        <v>45073</v>
      </c>
      <c r="C84" t="s">
        <v>21</v>
      </c>
      <c r="D84" t="s">
        <v>26</v>
      </c>
      <c r="E84">
        <v>18</v>
      </c>
      <c r="F84" s="3">
        <v>142.43</v>
      </c>
      <c r="G84" s="6" t="s">
        <v>31</v>
      </c>
      <c r="H84" s="6" t="s">
        <v>34</v>
      </c>
      <c r="I84" s="10">
        <v>0.05</v>
      </c>
      <c r="J84" s="6" t="s">
        <v>40</v>
      </c>
      <c r="K84" s="6" t="s">
        <v>43</v>
      </c>
      <c r="L84" s="12">
        <v>1</v>
      </c>
      <c r="M84" s="6" t="s">
        <v>327</v>
      </c>
      <c r="N84" s="3">
        <v>12.38</v>
      </c>
      <c r="O84" s="8">
        <v>45073</v>
      </c>
      <c r="P84" s="8">
        <v>45079</v>
      </c>
      <c r="Q84" s="6" t="s">
        <v>447</v>
      </c>
      <c r="R84" s="3">
        <f t="shared" si="2"/>
        <v>2576.0700000000002</v>
      </c>
    </row>
    <row r="85" spans="1:18" x14ac:dyDescent="0.3">
      <c r="A85" t="s">
        <v>129</v>
      </c>
      <c r="B85" s="1">
        <v>44931</v>
      </c>
      <c r="C85" t="s">
        <v>17</v>
      </c>
      <c r="D85" t="s">
        <v>24</v>
      </c>
      <c r="E85">
        <v>12</v>
      </c>
      <c r="F85" s="3">
        <v>582.52</v>
      </c>
      <c r="G85" s="6" t="s">
        <v>30</v>
      </c>
      <c r="H85" s="6" t="s">
        <v>33</v>
      </c>
      <c r="I85" s="10">
        <v>0</v>
      </c>
      <c r="J85" s="6" t="s">
        <v>40</v>
      </c>
      <c r="K85" s="6" t="s">
        <v>43</v>
      </c>
      <c r="L85" s="12">
        <v>0</v>
      </c>
      <c r="M85" s="6" t="s">
        <v>328</v>
      </c>
      <c r="N85" s="3">
        <v>41.16</v>
      </c>
      <c r="O85" s="8">
        <v>44931</v>
      </c>
      <c r="P85" s="8">
        <v>44937</v>
      </c>
      <c r="Q85" s="6" t="s">
        <v>443</v>
      </c>
      <c r="R85" s="3">
        <f t="shared" si="2"/>
        <v>7031.4</v>
      </c>
    </row>
    <row r="86" spans="1:18" x14ac:dyDescent="0.3">
      <c r="A86" t="s">
        <v>130</v>
      </c>
      <c r="B86" s="1">
        <v>45798</v>
      </c>
      <c r="C86" t="s">
        <v>17</v>
      </c>
      <c r="D86" t="s">
        <v>25</v>
      </c>
      <c r="E86">
        <v>20</v>
      </c>
      <c r="F86" s="3">
        <v>129.56</v>
      </c>
      <c r="G86" s="6" t="s">
        <v>30</v>
      </c>
      <c r="H86" s="6" t="s">
        <v>34</v>
      </c>
      <c r="I86" s="10">
        <v>0.15</v>
      </c>
      <c r="J86" s="6" t="s">
        <v>39</v>
      </c>
      <c r="K86" s="6" t="s">
        <v>41</v>
      </c>
      <c r="L86" s="12">
        <v>0</v>
      </c>
      <c r="M86" s="6" t="s">
        <v>329</v>
      </c>
      <c r="N86" s="3">
        <v>40.21</v>
      </c>
      <c r="O86" s="8">
        <v>45798</v>
      </c>
      <c r="P86" s="8">
        <v>45800</v>
      </c>
      <c r="Q86" s="6" t="s">
        <v>443</v>
      </c>
      <c r="R86" s="3">
        <f t="shared" si="2"/>
        <v>2631.2599999999998</v>
      </c>
    </row>
    <row r="87" spans="1:18" x14ac:dyDescent="0.3">
      <c r="A87" t="s">
        <v>131</v>
      </c>
      <c r="B87" s="1">
        <v>45128</v>
      </c>
      <c r="C87" t="s">
        <v>20</v>
      </c>
      <c r="D87" t="s">
        <v>27</v>
      </c>
      <c r="E87">
        <v>17</v>
      </c>
      <c r="F87" s="3">
        <v>431.82</v>
      </c>
      <c r="G87" s="6" t="s">
        <v>29</v>
      </c>
      <c r="H87" s="6" t="s">
        <v>34</v>
      </c>
      <c r="I87" s="10">
        <v>0</v>
      </c>
      <c r="J87" s="6" t="s">
        <v>35</v>
      </c>
      <c r="K87" s="6" t="s">
        <v>42</v>
      </c>
      <c r="L87" s="12">
        <v>1</v>
      </c>
      <c r="M87" s="6" t="s">
        <v>330</v>
      </c>
      <c r="N87" s="3">
        <v>37.75</v>
      </c>
      <c r="O87" s="8">
        <v>45128</v>
      </c>
      <c r="P87" s="8">
        <v>45132</v>
      </c>
      <c r="Q87" s="6" t="s">
        <v>446</v>
      </c>
      <c r="R87" s="3">
        <f t="shared" si="2"/>
        <v>7378.69</v>
      </c>
    </row>
    <row r="88" spans="1:18" x14ac:dyDescent="0.3">
      <c r="A88" t="s">
        <v>132</v>
      </c>
      <c r="B88" s="1">
        <v>45802</v>
      </c>
      <c r="C88" t="s">
        <v>17</v>
      </c>
      <c r="D88" t="s">
        <v>22</v>
      </c>
      <c r="E88">
        <v>15</v>
      </c>
      <c r="F88" s="3">
        <v>15.85</v>
      </c>
      <c r="G88" s="6" t="s">
        <v>31</v>
      </c>
      <c r="H88" s="6" t="s">
        <v>34</v>
      </c>
      <c r="I88" s="10">
        <v>0</v>
      </c>
      <c r="J88" s="6" t="s">
        <v>40</v>
      </c>
      <c r="K88" s="6" t="s">
        <v>44</v>
      </c>
      <c r="L88" s="12">
        <v>0</v>
      </c>
      <c r="M88" s="6" t="s">
        <v>331</v>
      </c>
      <c r="N88" s="3">
        <v>23.49</v>
      </c>
      <c r="O88" s="8">
        <v>45802</v>
      </c>
      <c r="P88" s="8">
        <v>45811</v>
      </c>
      <c r="Q88" s="6" t="s">
        <v>443</v>
      </c>
      <c r="R88" s="3">
        <f t="shared" si="2"/>
        <v>261.24</v>
      </c>
    </row>
    <row r="89" spans="1:18" x14ac:dyDescent="0.3">
      <c r="A89" t="s">
        <v>133</v>
      </c>
      <c r="B89" s="1">
        <v>45612</v>
      </c>
      <c r="C89" t="s">
        <v>18</v>
      </c>
      <c r="D89" t="s">
        <v>27</v>
      </c>
      <c r="E89">
        <v>20</v>
      </c>
      <c r="F89" s="3">
        <v>548.34</v>
      </c>
      <c r="G89" s="6" t="s">
        <v>29</v>
      </c>
      <c r="H89" s="6" t="s">
        <v>34</v>
      </c>
      <c r="I89" s="10">
        <v>0.1</v>
      </c>
      <c r="J89" s="6" t="s">
        <v>40</v>
      </c>
      <c r="K89" s="6" t="s">
        <v>42</v>
      </c>
      <c r="L89" s="12">
        <v>0</v>
      </c>
      <c r="M89" s="6" t="s">
        <v>332</v>
      </c>
      <c r="N89" s="3">
        <v>33.47</v>
      </c>
      <c r="O89" s="8">
        <v>45612</v>
      </c>
      <c r="P89" s="8">
        <v>45618</v>
      </c>
      <c r="Q89" s="6" t="s">
        <v>444</v>
      </c>
      <c r="R89" s="3">
        <f t="shared" si="2"/>
        <v>11000.17</v>
      </c>
    </row>
    <row r="90" spans="1:18" x14ac:dyDescent="0.3">
      <c r="A90" t="s">
        <v>134</v>
      </c>
      <c r="B90" s="1">
        <v>45249</v>
      </c>
      <c r="C90" t="s">
        <v>19</v>
      </c>
      <c r="D90" t="s">
        <v>22</v>
      </c>
      <c r="E90">
        <v>16</v>
      </c>
      <c r="F90" s="3">
        <v>525.83000000000004</v>
      </c>
      <c r="G90" s="6" t="s">
        <v>31</v>
      </c>
      <c r="H90" s="6" t="s">
        <v>33</v>
      </c>
      <c r="I90" s="10">
        <v>0.05</v>
      </c>
      <c r="J90" s="6" t="s">
        <v>37</v>
      </c>
      <c r="K90" s="6" t="s">
        <v>41</v>
      </c>
      <c r="L90" s="12">
        <v>0</v>
      </c>
      <c r="M90" s="6" t="s">
        <v>333</v>
      </c>
      <c r="N90" s="3">
        <v>36.47</v>
      </c>
      <c r="O90" s="8">
        <v>45249</v>
      </c>
      <c r="P90" s="8">
        <v>45255</v>
      </c>
      <c r="Q90" s="6" t="s">
        <v>445</v>
      </c>
      <c r="R90" s="3">
        <f t="shared" si="2"/>
        <v>8449.7000000000007</v>
      </c>
    </row>
    <row r="91" spans="1:18" x14ac:dyDescent="0.3">
      <c r="A91" t="s">
        <v>135</v>
      </c>
      <c r="B91" s="1">
        <v>45669</v>
      </c>
      <c r="C91" t="s">
        <v>20</v>
      </c>
      <c r="D91" t="s">
        <v>22</v>
      </c>
      <c r="E91">
        <v>15</v>
      </c>
      <c r="F91" s="3">
        <v>411.38</v>
      </c>
      <c r="G91" s="6" t="s">
        <v>30</v>
      </c>
      <c r="H91" s="6" t="s">
        <v>33</v>
      </c>
      <c r="I91" s="10">
        <v>0.05</v>
      </c>
      <c r="J91" s="6" t="s">
        <v>40</v>
      </c>
      <c r="K91" s="6" t="s">
        <v>41</v>
      </c>
      <c r="L91" s="12">
        <v>0</v>
      </c>
      <c r="M91" s="6" t="s">
        <v>334</v>
      </c>
      <c r="N91" s="3">
        <v>48.51</v>
      </c>
      <c r="O91" s="8">
        <v>45669</v>
      </c>
      <c r="P91" s="8">
        <v>45678</v>
      </c>
      <c r="Q91" s="6" t="s">
        <v>446</v>
      </c>
      <c r="R91" s="3">
        <f t="shared" si="2"/>
        <v>6219.16</v>
      </c>
    </row>
    <row r="92" spans="1:18" x14ac:dyDescent="0.3">
      <c r="A92" t="s">
        <v>136</v>
      </c>
      <c r="B92" s="1">
        <v>45014</v>
      </c>
      <c r="C92" t="s">
        <v>19</v>
      </c>
      <c r="D92" t="s">
        <v>26</v>
      </c>
      <c r="E92">
        <v>19</v>
      </c>
      <c r="F92" s="3">
        <v>559.95000000000005</v>
      </c>
      <c r="G92" s="6" t="s">
        <v>30</v>
      </c>
      <c r="H92" s="6" t="s">
        <v>33</v>
      </c>
      <c r="I92" s="10">
        <v>0.1</v>
      </c>
      <c r="J92" s="6" t="s">
        <v>38</v>
      </c>
      <c r="K92" s="6" t="s">
        <v>43</v>
      </c>
      <c r="L92" s="12">
        <v>0</v>
      </c>
      <c r="M92" s="6" t="s">
        <v>335</v>
      </c>
      <c r="N92" s="3">
        <v>18.3</v>
      </c>
      <c r="O92" s="8">
        <v>45014</v>
      </c>
      <c r="P92" s="8">
        <v>45019</v>
      </c>
      <c r="Q92" s="6" t="s">
        <v>445</v>
      </c>
      <c r="R92" s="3">
        <f t="shared" si="2"/>
        <v>10657.25</v>
      </c>
    </row>
    <row r="93" spans="1:18" x14ac:dyDescent="0.3">
      <c r="A93" t="s">
        <v>137</v>
      </c>
      <c r="B93" s="1">
        <v>45717</v>
      </c>
      <c r="C93" t="s">
        <v>19</v>
      </c>
      <c r="D93" t="s">
        <v>24</v>
      </c>
      <c r="E93">
        <v>8</v>
      </c>
      <c r="F93" s="3">
        <v>179.9</v>
      </c>
      <c r="G93" s="6" t="s">
        <v>31</v>
      </c>
      <c r="H93" s="6" t="s">
        <v>34</v>
      </c>
      <c r="I93" s="10">
        <v>0.05</v>
      </c>
      <c r="J93" s="6" t="s">
        <v>38</v>
      </c>
      <c r="K93" s="6" t="s">
        <v>41</v>
      </c>
      <c r="L93" s="12">
        <v>0</v>
      </c>
      <c r="M93" s="6" t="s">
        <v>336</v>
      </c>
      <c r="N93" s="3">
        <v>14.8</v>
      </c>
      <c r="O93" s="8">
        <v>45717</v>
      </c>
      <c r="P93" s="8">
        <v>45721</v>
      </c>
      <c r="Q93" s="6" t="s">
        <v>445</v>
      </c>
      <c r="R93" s="3">
        <f t="shared" si="2"/>
        <v>1453.95</v>
      </c>
    </row>
    <row r="94" spans="1:18" x14ac:dyDescent="0.3">
      <c r="A94" t="s">
        <v>138</v>
      </c>
      <c r="B94" s="1">
        <v>45217</v>
      </c>
      <c r="C94" t="s">
        <v>19</v>
      </c>
      <c r="D94" t="s">
        <v>25</v>
      </c>
      <c r="E94">
        <v>12</v>
      </c>
      <c r="F94" s="3">
        <v>494.15</v>
      </c>
      <c r="G94" s="6" t="s">
        <v>29</v>
      </c>
      <c r="H94" s="6" t="s">
        <v>33</v>
      </c>
      <c r="I94" s="10">
        <v>0.15</v>
      </c>
      <c r="J94" s="6" t="s">
        <v>39</v>
      </c>
      <c r="K94" s="6" t="s">
        <v>41</v>
      </c>
      <c r="L94" s="12">
        <v>1</v>
      </c>
      <c r="M94" s="6" t="s">
        <v>337</v>
      </c>
      <c r="N94" s="3">
        <v>18.05</v>
      </c>
      <c r="O94" s="8">
        <v>45217</v>
      </c>
      <c r="P94" s="8">
        <v>45219</v>
      </c>
      <c r="Q94" s="6" t="s">
        <v>445</v>
      </c>
      <c r="R94" s="3">
        <f t="shared" si="2"/>
        <v>5947.7</v>
      </c>
    </row>
    <row r="95" spans="1:18" x14ac:dyDescent="0.3">
      <c r="A95" t="s">
        <v>139</v>
      </c>
      <c r="B95" s="1">
        <v>45760</v>
      </c>
      <c r="C95" t="s">
        <v>17</v>
      </c>
      <c r="D95" t="s">
        <v>24</v>
      </c>
      <c r="E95">
        <v>10</v>
      </c>
      <c r="F95" s="3">
        <v>462.99</v>
      </c>
      <c r="G95" s="6" t="s">
        <v>31</v>
      </c>
      <c r="H95" s="6" t="s">
        <v>33</v>
      </c>
      <c r="I95" s="10">
        <v>0</v>
      </c>
      <c r="J95" s="6" t="s">
        <v>40</v>
      </c>
      <c r="K95" s="6" t="s">
        <v>43</v>
      </c>
      <c r="L95" s="12">
        <v>0</v>
      </c>
      <c r="M95" s="6" t="s">
        <v>338</v>
      </c>
      <c r="N95" s="3">
        <v>5.01</v>
      </c>
      <c r="O95" s="8">
        <v>45760</v>
      </c>
      <c r="P95" s="8">
        <v>45762</v>
      </c>
      <c r="Q95" s="6" t="s">
        <v>443</v>
      </c>
      <c r="R95" s="3">
        <f t="shared" si="2"/>
        <v>4634.91</v>
      </c>
    </row>
    <row r="96" spans="1:18" x14ac:dyDescent="0.3">
      <c r="A96" t="s">
        <v>140</v>
      </c>
      <c r="B96" s="1">
        <v>45790</v>
      </c>
      <c r="C96" t="s">
        <v>20</v>
      </c>
      <c r="D96" t="s">
        <v>22</v>
      </c>
      <c r="E96">
        <v>7</v>
      </c>
      <c r="F96" s="3">
        <v>460.24</v>
      </c>
      <c r="G96" s="6" t="s">
        <v>30</v>
      </c>
      <c r="H96" s="6" t="s">
        <v>34</v>
      </c>
      <c r="I96" s="10">
        <v>0.05</v>
      </c>
      <c r="J96" s="6" t="s">
        <v>36</v>
      </c>
      <c r="K96" s="6" t="s">
        <v>45</v>
      </c>
      <c r="L96" s="12">
        <v>1</v>
      </c>
      <c r="M96" s="6" t="s">
        <v>339</v>
      </c>
      <c r="N96" s="3">
        <v>11.54</v>
      </c>
      <c r="O96" s="8">
        <v>45790</v>
      </c>
      <c r="P96" s="8">
        <v>45800</v>
      </c>
      <c r="Q96" s="6" t="s">
        <v>446</v>
      </c>
      <c r="R96" s="3">
        <f t="shared" si="2"/>
        <v>3233.17</v>
      </c>
    </row>
    <row r="97" spans="1:18" x14ac:dyDescent="0.3">
      <c r="A97" t="s">
        <v>141</v>
      </c>
      <c r="B97" s="1">
        <v>45403</v>
      </c>
      <c r="C97" t="s">
        <v>21</v>
      </c>
      <c r="D97" t="s">
        <v>28</v>
      </c>
      <c r="E97">
        <v>17</v>
      </c>
      <c r="F97" s="3">
        <v>309.52</v>
      </c>
      <c r="G97" s="6" t="s">
        <v>29</v>
      </c>
      <c r="H97" s="6" t="s">
        <v>33</v>
      </c>
      <c r="I97" s="10">
        <v>0.05</v>
      </c>
      <c r="J97" s="6" t="s">
        <v>35</v>
      </c>
      <c r="K97" s="6" t="s">
        <v>41</v>
      </c>
      <c r="L97" s="12">
        <v>0</v>
      </c>
      <c r="M97" s="6" t="s">
        <v>340</v>
      </c>
      <c r="N97" s="3">
        <v>6.11</v>
      </c>
      <c r="O97" s="8">
        <v>45403</v>
      </c>
      <c r="P97" s="8">
        <v>45409</v>
      </c>
      <c r="Q97" s="6" t="s">
        <v>447</v>
      </c>
      <c r="R97" s="3">
        <f t="shared" si="2"/>
        <v>5267.9</v>
      </c>
    </row>
    <row r="98" spans="1:18" x14ac:dyDescent="0.3">
      <c r="A98" t="s">
        <v>142</v>
      </c>
      <c r="B98" s="1">
        <v>45688</v>
      </c>
      <c r="C98" t="s">
        <v>20</v>
      </c>
      <c r="D98" t="s">
        <v>26</v>
      </c>
      <c r="E98">
        <v>1</v>
      </c>
      <c r="F98" s="3">
        <v>323.83</v>
      </c>
      <c r="G98" s="6" t="s">
        <v>29</v>
      </c>
      <c r="H98" s="6" t="s">
        <v>33</v>
      </c>
      <c r="I98" s="10">
        <v>0.05</v>
      </c>
      <c r="J98" s="6" t="s">
        <v>35</v>
      </c>
      <c r="K98" s="6" t="s">
        <v>43</v>
      </c>
      <c r="L98" s="12">
        <v>0</v>
      </c>
      <c r="M98" s="6" t="s">
        <v>341</v>
      </c>
      <c r="N98" s="3">
        <v>27.48</v>
      </c>
      <c r="O98" s="8">
        <v>45688</v>
      </c>
      <c r="P98" s="8">
        <v>45696</v>
      </c>
      <c r="Q98" s="6" t="s">
        <v>446</v>
      </c>
      <c r="R98" s="3">
        <f t="shared" ref="R98:R129" si="3">(E98*F98)-I98+N98</f>
        <v>351.26</v>
      </c>
    </row>
    <row r="99" spans="1:18" x14ac:dyDescent="0.3">
      <c r="A99" t="s">
        <v>143</v>
      </c>
      <c r="B99" s="1">
        <v>45730</v>
      </c>
      <c r="C99" t="s">
        <v>20</v>
      </c>
      <c r="D99" t="s">
        <v>25</v>
      </c>
      <c r="E99">
        <v>10</v>
      </c>
      <c r="F99" s="3">
        <v>503.07</v>
      </c>
      <c r="G99" s="6" t="s">
        <v>31</v>
      </c>
      <c r="H99" s="6" t="s">
        <v>34</v>
      </c>
      <c r="I99" s="10">
        <v>0</v>
      </c>
      <c r="J99" s="6" t="s">
        <v>40</v>
      </c>
      <c r="K99" s="6" t="s">
        <v>43</v>
      </c>
      <c r="L99" s="12">
        <v>0</v>
      </c>
      <c r="M99" s="6" t="s">
        <v>342</v>
      </c>
      <c r="N99" s="3">
        <v>44.61</v>
      </c>
      <c r="O99" s="8">
        <v>45730</v>
      </c>
      <c r="P99" s="8">
        <v>45735</v>
      </c>
      <c r="Q99" s="6" t="s">
        <v>446</v>
      </c>
      <c r="R99" s="3">
        <f t="shared" si="3"/>
        <v>5075.3099999999995</v>
      </c>
    </row>
    <row r="100" spans="1:18" x14ac:dyDescent="0.3">
      <c r="A100" t="s">
        <v>144</v>
      </c>
      <c r="B100" s="1">
        <v>45438</v>
      </c>
      <c r="C100" t="s">
        <v>21</v>
      </c>
      <c r="D100" t="s">
        <v>22</v>
      </c>
      <c r="E100">
        <v>20</v>
      </c>
      <c r="F100" s="3">
        <v>491.68</v>
      </c>
      <c r="G100" s="6" t="s">
        <v>32</v>
      </c>
      <c r="H100" s="6" t="s">
        <v>33</v>
      </c>
      <c r="I100" s="10">
        <v>0.15</v>
      </c>
      <c r="J100" s="6" t="s">
        <v>36</v>
      </c>
      <c r="K100" s="6" t="s">
        <v>41</v>
      </c>
      <c r="L100" s="12">
        <v>1</v>
      </c>
      <c r="M100" s="6" t="s">
        <v>343</v>
      </c>
      <c r="N100" s="3">
        <v>43.46</v>
      </c>
      <c r="O100" s="8">
        <v>45438</v>
      </c>
      <c r="P100" s="8">
        <v>45441</v>
      </c>
      <c r="Q100" s="6" t="s">
        <v>447</v>
      </c>
      <c r="R100" s="3">
        <f t="shared" si="3"/>
        <v>9876.91</v>
      </c>
    </row>
    <row r="101" spans="1:18" x14ac:dyDescent="0.3">
      <c r="A101" t="s">
        <v>145</v>
      </c>
      <c r="B101" s="1">
        <v>45129</v>
      </c>
      <c r="C101" t="s">
        <v>19</v>
      </c>
      <c r="D101" t="s">
        <v>23</v>
      </c>
      <c r="E101">
        <v>17</v>
      </c>
      <c r="F101" s="3">
        <v>468.45</v>
      </c>
      <c r="G101" s="6" t="s">
        <v>30</v>
      </c>
      <c r="H101" s="6" t="s">
        <v>34</v>
      </c>
      <c r="I101" s="10">
        <v>0.05</v>
      </c>
      <c r="J101" s="6" t="s">
        <v>38</v>
      </c>
      <c r="K101" s="6" t="s">
        <v>43</v>
      </c>
      <c r="L101" s="12">
        <v>0</v>
      </c>
      <c r="M101" s="6" t="s">
        <v>344</v>
      </c>
      <c r="N101" s="3">
        <v>17.88</v>
      </c>
      <c r="O101" s="8">
        <v>45129</v>
      </c>
      <c r="P101" s="8">
        <v>45133</v>
      </c>
      <c r="Q101" s="6" t="s">
        <v>445</v>
      </c>
      <c r="R101" s="3">
        <f t="shared" si="3"/>
        <v>7981.48</v>
      </c>
    </row>
    <row r="102" spans="1:18" x14ac:dyDescent="0.3">
      <c r="A102" t="s">
        <v>146</v>
      </c>
      <c r="B102" s="1">
        <v>45372</v>
      </c>
      <c r="C102" t="s">
        <v>19</v>
      </c>
      <c r="D102" t="s">
        <v>22</v>
      </c>
      <c r="E102">
        <v>11</v>
      </c>
      <c r="F102" s="3">
        <v>401.76</v>
      </c>
      <c r="G102" s="6" t="s">
        <v>32</v>
      </c>
      <c r="H102" s="6" t="s">
        <v>34</v>
      </c>
      <c r="I102" s="10">
        <v>0.15</v>
      </c>
      <c r="J102" s="6" t="s">
        <v>37</v>
      </c>
      <c r="K102" s="6" t="s">
        <v>42</v>
      </c>
      <c r="L102" s="12">
        <v>0</v>
      </c>
      <c r="M102" s="6" t="s">
        <v>345</v>
      </c>
      <c r="N102" s="3">
        <v>48.03</v>
      </c>
      <c r="O102" s="8">
        <v>45372</v>
      </c>
      <c r="P102" s="8">
        <v>45381</v>
      </c>
      <c r="Q102" s="6" t="s">
        <v>445</v>
      </c>
      <c r="R102" s="3">
        <f t="shared" si="3"/>
        <v>4467.24</v>
      </c>
    </row>
    <row r="103" spans="1:18" x14ac:dyDescent="0.3">
      <c r="A103" t="s">
        <v>147</v>
      </c>
      <c r="B103" s="1">
        <v>45021</v>
      </c>
      <c r="C103" t="s">
        <v>21</v>
      </c>
      <c r="D103" t="s">
        <v>28</v>
      </c>
      <c r="E103">
        <v>3</v>
      </c>
      <c r="F103" s="3">
        <v>221</v>
      </c>
      <c r="G103" s="6" t="s">
        <v>29</v>
      </c>
      <c r="H103" s="6" t="s">
        <v>33</v>
      </c>
      <c r="I103" s="10">
        <v>0</v>
      </c>
      <c r="J103" s="6" t="s">
        <v>37</v>
      </c>
      <c r="K103" s="6" t="s">
        <v>45</v>
      </c>
      <c r="L103" s="12">
        <v>0</v>
      </c>
      <c r="M103" s="6" t="s">
        <v>346</v>
      </c>
      <c r="N103" s="3">
        <v>32.31</v>
      </c>
      <c r="O103" s="8">
        <v>45021</v>
      </c>
      <c r="P103" s="8">
        <v>45024</v>
      </c>
      <c r="Q103" s="6" t="s">
        <v>447</v>
      </c>
      <c r="R103" s="3">
        <f t="shared" si="3"/>
        <v>695.31</v>
      </c>
    </row>
    <row r="104" spans="1:18" x14ac:dyDescent="0.3">
      <c r="A104" t="s">
        <v>148</v>
      </c>
      <c r="B104" s="1">
        <v>45530</v>
      </c>
      <c r="C104" t="s">
        <v>17</v>
      </c>
      <c r="D104" t="s">
        <v>26</v>
      </c>
      <c r="E104">
        <v>6</v>
      </c>
      <c r="F104" s="3">
        <v>188.45</v>
      </c>
      <c r="G104" s="6" t="s">
        <v>31</v>
      </c>
      <c r="H104" s="6" t="s">
        <v>33</v>
      </c>
      <c r="I104" s="10">
        <v>0.05</v>
      </c>
      <c r="J104" s="6" t="s">
        <v>36</v>
      </c>
      <c r="K104" s="6" t="s">
        <v>42</v>
      </c>
      <c r="L104" s="12">
        <v>0</v>
      </c>
      <c r="M104" s="6" t="s">
        <v>347</v>
      </c>
      <c r="N104" s="3">
        <v>6.77</v>
      </c>
      <c r="O104" s="8">
        <v>45530</v>
      </c>
      <c r="P104" s="8">
        <v>45536</v>
      </c>
      <c r="Q104" s="6" t="s">
        <v>443</v>
      </c>
      <c r="R104" s="3">
        <f t="shared" si="3"/>
        <v>1137.4199999999998</v>
      </c>
    </row>
    <row r="105" spans="1:18" x14ac:dyDescent="0.3">
      <c r="A105" t="s">
        <v>149</v>
      </c>
      <c r="B105" s="1">
        <v>45480</v>
      </c>
      <c r="C105" t="s">
        <v>19</v>
      </c>
      <c r="D105" t="s">
        <v>24</v>
      </c>
      <c r="E105">
        <v>3</v>
      </c>
      <c r="F105" s="3">
        <v>566.20000000000005</v>
      </c>
      <c r="G105" s="6" t="s">
        <v>32</v>
      </c>
      <c r="H105" s="6" t="s">
        <v>34</v>
      </c>
      <c r="I105" s="10">
        <v>0</v>
      </c>
      <c r="J105" s="6" t="s">
        <v>40</v>
      </c>
      <c r="K105" s="6" t="s">
        <v>42</v>
      </c>
      <c r="L105" s="12">
        <v>1</v>
      </c>
      <c r="M105" s="6" t="s">
        <v>348</v>
      </c>
      <c r="N105" s="3">
        <v>28.97</v>
      </c>
      <c r="O105" s="8">
        <v>45480</v>
      </c>
      <c r="P105" s="8">
        <v>45490</v>
      </c>
      <c r="Q105" s="6" t="s">
        <v>445</v>
      </c>
      <c r="R105" s="3">
        <f t="shared" si="3"/>
        <v>1727.5700000000002</v>
      </c>
    </row>
    <row r="106" spans="1:18" x14ac:dyDescent="0.3">
      <c r="A106" t="s">
        <v>150</v>
      </c>
      <c r="B106" s="1">
        <v>45198</v>
      </c>
      <c r="C106" t="s">
        <v>17</v>
      </c>
      <c r="D106" t="s">
        <v>26</v>
      </c>
      <c r="E106">
        <v>14</v>
      </c>
      <c r="F106" s="3">
        <v>167.09</v>
      </c>
      <c r="G106" s="6" t="s">
        <v>32</v>
      </c>
      <c r="H106" s="6" t="s">
        <v>34</v>
      </c>
      <c r="I106" s="10">
        <v>0.05</v>
      </c>
      <c r="J106" s="6" t="s">
        <v>36</v>
      </c>
      <c r="K106" s="6" t="s">
        <v>42</v>
      </c>
      <c r="L106" s="12">
        <v>1</v>
      </c>
      <c r="M106" s="6" t="s">
        <v>349</v>
      </c>
      <c r="N106" s="3">
        <v>47.05</v>
      </c>
      <c r="O106" s="8">
        <v>45198</v>
      </c>
      <c r="P106" s="8">
        <v>45207</v>
      </c>
      <c r="Q106" s="6" t="s">
        <v>443</v>
      </c>
      <c r="R106" s="3">
        <f t="shared" si="3"/>
        <v>2386.2600000000002</v>
      </c>
    </row>
    <row r="107" spans="1:18" x14ac:dyDescent="0.3">
      <c r="A107" t="s">
        <v>151</v>
      </c>
      <c r="B107" s="1">
        <v>45203</v>
      </c>
      <c r="C107" t="s">
        <v>21</v>
      </c>
      <c r="D107" t="s">
        <v>26</v>
      </c>
      <c r="E107">
        <v>16</v>
      </c>
      <c r="F107" s="3">
        <v>36.159999999999997</v>
      </c>
      <c r="G107" s="6" t="s">
        <v>31</v>
      </c>
      <c r="H107" s="6" t="s">
        <v>33</v>
      </c>
      <c r="I107" s="10">
        <v>0.1</v>
      </c>
      <c r="J107" s="6" t="s">
        <v>38</v>
      </c>
      <c r="K107" s="6" t="s">
        <v>44</v>
      </c>
      <c r="L107" s="12">
        <v>0</v>
      </c>
      <c r="M107" s="6" t="s">
        <v>350</v>
      </c>
      <c r="N107" s="3">
        <v>26.64</v>
      </c>
      <c r="O107" s="8">
        <v>45203</v>
      </c>
      <c r="P107" s="8">
        <v>45210</v>
      </c>
      <c r="Q107" s="6" t="s">
        <v>447</v>
      </c>
      <c r="R107" s="3">
        <f t="shared" si="3"/>
        <v>605.09999999999991</v>
      </c>
    </row>
    <row r="108" spans="1:18" x14ac:dyDescent="0.3">
      <c r="A108" t="s">
        <v>152</v>
      </c>
      <c r="B108" s="1">
        <v>45817</v>
      </c>
      <c r="C108" t="s">
        <v>20</v>
      </c>
      <c r="D108" t="s">
        <v>28</v>
      </c>
      <c r="E108">
        <v>2</v>
      </c>
      <c r="F108" s="3">
        <v>73.94</v>
      </c>
      <c r="G108" s="6" t="s">
        <v>29</v>
      </c>
      <c r="H108" s="6" t="s">
        <v>33</v>
      </c>
      <c r="I108" s="10">
        <v>0.05</v>
      </c>
      <c r="J108" s="6" t="s">
        <v>38</v>
      </c>
      <c r="K108" s="6" t="s">
        <v>44</v>
      </c>
      <c r="L108" s="12">
        <v>0</v>
      </c>
      <c r="M108" s="6" t="s">
        <v>351</v>
      </c>
      <c r="N108" s="3">
        <v>28.05</v>
      </c>
      <c r="O108" s="8">
        <v>45817</v>
      </c>
      <c r="P108" s="8">
        <v>45824</v>
      </c>
      <c r="Q108" s="6" t="s">
        <v>446</v>
      </c>
      <c r="R108" s="3">
        <f t="shared" si="3"/>
        <v>175.88</v>
      </c>
    </row>
    <row r="109" spans="1:18" x14ac:dyDescent="0.3">
      <c r="A109" t="s">
        <v>153</v>
      </c>
      <c r="B109" s="1">
        <v>45820</v>
      </c>
      <c r="C109" t="s">
        <v>17</v>
      </c>
      <c r="D109" t="s">
        <v>28</v>
      </c>
      <c r="E109">
        <v>16</v>
      </c>
      <c r="F109" s="3">
        <v>459.49</v>
      </c>
      <c r="G109" s="6" t="s">
        <v>30</v>
      </c>
      <c r="H109" s="6" t="s">
        <v>33</v>
      </c>
      <c r="I109" s="10">
        <v>0.1</v>
      </c>
      <c r="J109" s="6" t="s">
        <v>35</v>
      </c>
      <c r="K109" s="6" t="s">
        <v>41</v>
      </c>
      <c r="L109" s="12">
        <v>0</v>
      </c>
      <c r="M109" s="6" t="s">
        <v>352</v>
      </c>
      <c r="N109" s="3">
        <v>26.99</v>
      </c>
      <c r="O109" s="8">
        <v>45820</v>
      </c>
      <c r="P109" s="8">
        <v>45822</v>
      </c>
      <c r="Q109" s="6" t="s">
        <v>443</v>
      </c>
      <c r="R109" s="3">
        <f t="shared" si="3"/>
        <v>7378.73</v>
      </c>
    </row>
    <row r="110" spans="1:18" x14ac:dyDescent="0.3">
      <c r="A110" t="s">
        <v>154</v>
      </c>
      <c r="B110" s="1">
        <v>45472</v>
      </c>
      <c r="C110" t="s">
        <v>17</v>
      </c>
      <c r="D110" t="s">
        <v>25</v>
      </c>
      <c r="E110">
        <v>3</v>
      </c>
      <c r="F110" s="3">
        <v>168.05</v>
      </c>
      <c r="G110" s="6" t="s">
        <v>30</v>
      </c>
      <c r="H110" s="6" t="s">
        <v>34</v>
      </c>
      <c r="I110" s="10">
        <v>0</v>
      </c>
      <c r="J110" s="6" t="s">
        <v>38</v>
      </c>
      <c r="K110" s="6" t="s">
        <v>45</v>
      </c>
      <c r="L110" s="12">
        <v>1</v>
      </c>
      <c r="M110" s="6" t="s">
        <v>353</v>
      </c>
      <c r="N110" s="3">
        <v>21.08</v>
      </c>
      <c r="O110" s="8">
        <v>45472</v>
      </c>
      <c r="P110" s="8">
        <v>45479</v>
      </c>
      <c r="Q110" s="6" t="s">
        <v>443</v>
      </c>
      <c r="R110" s="3">
        <f t="shared" si="3"/>
        <v>525.23</v>
      </c>
    </row>
    <row r="111" spans="1:18" x14ac:dyDescent="0.3">
      <c r="A111" t="s">
        <v>155</v>
      </c>
      <c r="B111" s="1">
        <v>45374</v>
      </c>
      <c r="C111" t="s">
        <v>19</v>
      </c>
      <c r="D111" t="s">
        <v>28</v>
      </c>
      <c r="E111">
        <v>14</v>
      </c>
      <c r="F111" s="3">
        <v>37.54</v>
      </c>
      <c r="G111" s="6" t="s">
        <v>29</v>
      </c>
      <c r="H111" s="6" t="s">
        <v>34</v>
      </c>
      <c r="I111" s="10">
        <v>0.15</v>
      </c>
      <c r="J111" s="6" t="s">
        <v>36</v>
      </c>
      <c r="K111" s="6" t="s">
        <v>43</v>
      </c>
      <c r="L111" s="12">
        <v>1</v>
      </c>
      <c r="M111" s="6" t="s">
        <v>354</v>
      </c>
      <c r="N111" s="3">
        <v>49.6</v>
      </c>
      <c r="O111" s="8">
        <v>45374</v>
      </c>
      <c r="P111" s="8">
        <v>45384</v>
      </c>
      <c r="Q111" s="6" t="s">
        <v>445</v>
      </c>
      <c r="R111" s="3">
        <f t="shared" si="3"/>
        <v>575.01</v>
      </c>
    </row>
    <row r="112" spans="1:18" x14ac:dyDescent="0.3">
      <c r="A112" t="s">
        <v>156</v>
      </c>
      <c r="B112" s="1">
        <v>45487</v>
      </c>
      <c r="C112" t="s">
        <v>18</v>
      </c>
      <c r="D112" t="s">
        <v>27</v>
      </c>
      <c r="E112">
        <v>4</v>
      </c>
      <c r="F112" s="3">
        <v>151.16</v>
      </c>
      <c r="G112" s="6" t="s">
        <v>29</v>
      </c>
      <c r="H112" s="6" t="s">
        <v>33</v>
      </c>
      <c r="I112" s="10">
        <v>0</v>
      </c>
      <c r="J112" s="6" t="s">
        <v>36</v>
      </c>
      <c r="K112" s="6" t="s">
        <v>42</v>
      </c>
      <c r="L112" s="12">
        <v>1</v>
      </c>
      <c r="M112" s="6" t="s">
        <v>355</v>
      </c>
      <c r="N112" s="3">
        <v>41.4</v>
      </c>
      <c r="O112" s="8">
        <v>45487</v>
      </c>
      <c r="P112" s="8">
        <v>45494</v>
      </c>
      <c r="Q112" s="6" t="s">
        <v>444</v>
      </c>
      <c r="R112" s="3">
        <f t="shared" si="3"/>
        <v>646.04</v>
      </c>
    </row>
    <row r="113" spans="1:18" x14ac:dyDescent="0.3">
      <c r="A113" t="s">
        <v>157</v>
      </c>
      <c r="B113" s="1">
        <v>45366</v>
      </c>
      <c r="C113" t="s">
        <v>18</v>
      </c>
      <c r="D113" t="s">
        <v>27</v>
      </c>
      <c r="E113">
        <v>17</v>
      </c>
      <c r="F113" s="3">
        <v>78.58</v>
      </c>
      <c r="G113" s="6" t="s">
        <v>30</v>
      </c>
      <c r="H113" s="6" t="s">
        <v>33</v>
      </c>
      <c r="I113" s="10">
        <v>0.1</v>
      </c>
      <c r="J113" s="6" t="s">
        <v>40</v>
      </c>
      <c r="K113" s="6" t="s">
        <v>42</v>
      </c>
      <c r="L113" s="12">
        <v>0</v>
      </c>
      <c r="M113" s="6" t="s">
        <v>356</v>
      </c>
      <c r="N113" s="3">
        <v>8.02</v>
      </c>
      <c r="O113" s="8">
        <v>45366</v>
      </c>
      <c r="P113" s="8">
        <v>45376</v>
      </c>
      <c r="Q113" s="6" t="s">
        <v>444</v>
      </c>
      <c r="R113" s="3">
        <f t="shared" si="3"/>
        <v>1343.78</v>
      </c>
    </row>
    <row r="114" spans="1:18" x14ac:dyDescent="0.3">
      <c r="A114" t="s">
        <v>158</v>
      </c>
      <c r="B114" s="1">
        <v>45766</v>
      </c>
      <c r="C114" t="s">
        <v>20</v>
      </c>
      <c r="D114" t="s">
        <v>25</v>
      </c>
      <c r="E114">
        <v>15</v>
      </c>
      <c r="F114" s="3">
        <v>37.33</v>
      </c>
      <c r="G114" s="6" t="s">
        <v>29</v>
      </c>
      <c r="H114" s="6" t="s">
        <v>34</v>
      </c>
      <c r="I114" s="10">
        <v>0.05</v>
      </c>
      <c r="J114" s="6" t="s">
        <v>38</v>
      </c>
      <c r="K114" s="6" t="s">
        <v>45</v>
      </c>
      <c r="L114" s="12">
        <v>1</v>
      </c>
      <c r="M114" s="6" t="s">
        <v>357</v>
      </c>
      <c r="N114" s="3">
        <v>43.69</v>
      </c>
      <c r="O114" s="8">
        <v>45766</v>
      </c>
      <c r="P114" s="8">
        <v>45771</v>
      </c>
      <c r="Q114" s="6" t="s">
        <v>446</v>
      </c>
      <c r="R114" s="3">
        <f t="shared" si="3"/>
        <v>603.58999999999992</v>
      </c>
    </row>
    <row r="115" spans="1:18" x14ac:dyDescent="0.3">
      <c r="A115" t="s">
        <v>159</v>
      </c>
      <c r="B115" s="1">
        <v>45337</v>
      </c>
      <c r="C115" t="s">
        <v>21</v>
      </c>
      <c r="D115" t="s">
        <v>27</v>
      </c>
      <c r="E115">
        <v>18</v>
      </c>
      <c r="F115" s="3">
        <v>537.02</v>
      </c>
      <c r="G115" s="6" t="s">
        <v>30</v>
      </c>
      <c r="H115" s="6" t="s">
        <v>33</v>
      </c>
      <c r="I115" s="10">
        <v>0.15</v>
      </c>
      <c r="J115" s="6" t="s">
        <v>38</v>
      </c>
      <c r="K115" s="6" t="s">
        <v>44</v>
      </c>
      <c r="L115" s="12">
        <v>0</v>
      </c>
      <c r="M115" s="6" t="s">
        <v>358</v>
      </c>
      <c r="N115" s="3">
        <v>23.94</v>
      </c>
      <c r="O115" s="8">
        <v>45337</v>
      </c>
      <c r="P115" s="8">
        <v>45342</v>
      </c>
      <c r="Q115" s="6" t="s">
        <v>447</v>
      </c>
      <c r="R115" s="3">
        <f t="shared" si="3"/>
        <v>9690.1500000000015</v>
      </c>
    </row>
    <row r="116" spans="1:18" x14ac:dyDescent="0.3">
      <c r="A116" t="s">
        <v>160</v>
      </c>
      <c r="B116" s="1">
        <v>45316</v>
      </c>
      <c r="C116" t="s">
        <v>17</v>
      </c>
      <c r="D116" t="s">
        <v>24</v>
      </c>
      <c r="E116">
        <v>5</v>
      </c>
      <c r="F116" s="3">
        <v>215.6</v>
      </c>
      <c r="G116" s="6" t="s">
        <v>31</v>
      </c>
      <c r="H116" s="6" t="s">
        <v>33</v>
      </c>
      <c r="I116" s="10">
        <v>0</v>
      </c>
      <c r="J116" s="6" t="s">
        <v>37</v>
      </c>
      <c r="K116" s="6" t="s">
        <v>41</v>
      </c>
      <c r="L116" s="12">
        <v>0</v>
      </c>
      <c r="M116" s="6" t="s">
        <v>359</v>
      </c>
      <c r="N116" s="3">
        <v>28.36</v>
      </c>
      <c r="O116" s="8">
        <v>45316</v>
      </c>
      <c r="P116" s="8">
        <v>45326</v>
      </c>
      <c r="Q116" s="6" t="s">
        <v>443</v>
      </c>
      <c r="R116" s="3">
        <f t="shared" si="3"/>
        <v>1106.3599999999999</v>
      </c>
    </row>
    <row r="117" spans="1:18" x14ac:dyDescent="0.3">
      <c r="A117" t="s">
        <v>161</v>
      </c>
      <c r="B117" s="1">
        <v>45762</v>
      </c>
      <c r="C117" t="s">
        <v>20</v>
      </c>
      <c r="D117" t="s">
        <v>22</v>
      </c>
      <c r="E117">
        <v>18</v>
      </c>
      <c r="F117" s="3">
        <v>209.5</v>
      </c>
      <c r="G117" s="6" t="s">
        <v>32</v>
      </c>
      <c r="H117" s="6" t="s">
        <v>33</v>
      </c>
      <c r="I117" s="10">
        <v>0</v>
      </c>
      <c r="J117" s="6" t="s">
        <v>38</v>
      </c>
      <c r="K117" s="6" t="s">
        <v>43</v>
      </c>
      <c r="L117" s="12">
        <v>0</v>
      </c>
      <c r="M117" s="6" t="s">
        <v>360</v>
      </c>
      <c r="N117" s="3">
        <v>38.229999999999997</v>
      </c>
      <c r="O117" s="8">
        <v>45762</v>
      </c>
      <c r="P117" s="8">
        <v>45770</v>
      </c>
      <c r="Q117" s="6" t="s">
        <v>446</v>
      </c>
      <c r="R117" s="3">
        <f t="shared" si="3"/>
        <v>3809.23</v>
      </c>
    </row>
    <row r="118" spans="1:18" x14ac:dyDescent="0.3">
      <c r="A118" t="s">
        <v>162</v>
      </c>
      <c r="B118" s="1">
        <v>45762</v>
      </c>
      <c r="C118" t="s">
        <v>20</v>
      </c>
      <c r="D118" t="s">
        <v>25</v>
      </c>
      <c r="E118">
        <v>8</v>
      </c>
      <c r="F118" s="3">
        <v>348.98</v>
      </c>
      <c r="G118" s="6" t="s">
        <v>30</v>
      </c>
      <c r="H118" s="6" t="s">
        <v>34</v>
      </c>
      <c r="I118" s="10">
        <v>0.1</v>
      </c>
      <c r="J118" s="6" t="s">
        <v>37</v>
      </c>
      <c r="K118" s="6" t="s">
        <v>41</v>
      </c>
      <c r="L118" s="12">
        <v>0</v>
      </c>
      <c r="M118" s="6" t="s">
        <v>361</v>
      </c>
      <c r="N118" s="3">
        <v>19.170000000000002</v>
      </c>
      <c r="O118" s="8">
        <v>45762</v>
      </c>
      <c r="P118" s="8">
        <v>45767</v>
      </c>
      <c r="Q118" s="6" t="s">
        <v>446</v>
      </c>
      <c r="R118" s="3">
        <f t="shared" si="3"/>
        <v>2810.9100000000003</v>
      </c>
    </row>
    <row r="119" spans="1:18" x14ac:dyDescent="0.3">
      <c r="A119" t="s">
        <v>163</v>
      </c>
      <c r="B119" s="1">
        <v>45515</v>
      </c>
      <c r="C119" t="s">
        <v>21</v>
      </c>
      <c r="D119" t="s">
        <v>28</v>
      </c>
      <c r="E119">
        <v>2</v>
      </c>
      <c r="F119" s="3">
        <v>289.14</v>
      </c>
      <c r="G119" s="6" t="s">
        <v>31</v>
      </c>
      <c r="H119" s="6" t="s">
        <v>34</v>
      </c>
      <c r="I119" s="10">
        <v>0.05</v>
      </c>
      <c r="J119" s="6" t="s">
        <v>39</v>
      </c>
      <c r="K119" s="6" t="s">
        <v>41</v>
      </c>
      <c r="L119" s="12">
        <v>0</v>
      </c>
      <c r="M119" s="6" t="s">
        <v>362</v>
      </c>
      <c r="N119" s="3">
        <v>5.13</v>
      </c>
      <c r="O119" s="8">
        <v>45515</v>
      </c>
      <c r="P119" s="8">
        <v>45517</v>
      </c>
      <c r="Q119" s="6" t="s">
        <v>447</v>
      </c>
      <c r="R119" s="3">
        <f t="shared" si="3"/>
        <v>583.36</v>
      </c>
    </row>
    <row r="120" spans="1:18" x14ac:dyDescent="0.3">
      <c r="A120" t="s">
        <v>164</v>
      </c>
      <c r="B120" s="1">
        <v>45261</v>
      </c>
      <c r="C120" t="s">
        <v>18</v>
      </c>
      <c r="D120" t="s">
        <v>24</v>
      </c>
      <c r="E120">
        <v>5</v>
      </c>
      <c r="F120" s="3">
        <v>396.93</v>
      </c>
      <c r="G120" s="6" t="s">
        <v>29</v>
      </c>
      <c r="H120" s="6" t="s">
        <v>33</v>
      </c>
      <c r="I120" s="10">
        <v>0</v>
      </c>
      <c r="J120" s="6" t="s">
        <v>39</v>
      </c>
      <c r="K120" s="6" t="s">
        <v>43</v>
      </c>
      <c r="L120" s="12">
        <v>0</v>
      </c>
      <c r="M120" s="6" t="s">
        <v>363</v>
      </c>
      <c r="N120" s="3">
        <v>48.63</v>
      </c>
      <c r="O120" s="8">
        <v>45261</v>
      </c>
      <c r="P120" s="8">
        <v>45268</v>
      </c>
      <c r="Q120" s="6" t="s">
        <v>444</v>
      </c>
      <c r="R120" s="3">
        <f t="shared" si="3"/>
        <v>2033.2800000000002</v>
      </c>
    </row>
    <row r="121" spans="1:18" x14ac:dyDescent="0.3">
      <c r="A121" t="s">
        <v>165</v>
      </c>
      <c r="B121" s="1">
        <v>45144</v>
      </c>
      <c r="C121" t="s">
        <v>20</v>
      </c>
      <c r="D121" t="s">
        <v>22</v>
      </c>
      <c r="E121">
        <v>10</v>
      </c>
      <c r="F121" s="3">
        <v>508.57</v>
      </c>
      <c r="G121" s="6" t="s">
        <v>32</v>
      </c>
      <c r="H121" s="6" t="s">
        <v>34</v>
      </c>
      <c r="I121" s="10">
        <v>0.05</v>
      </c>
      <c r="J121" s="6" t="s">
        <v>40</v>
      </c>
      <c r="K121" s="6" t="s">
        <v>41</v>
      </c>
      <c r="L121" s="12">
        <v>0</v>
      </c>
      <c r="M121" s="6" t="s">
        <v>364</v>
      </c>
      <c r="N121" s="3">
        <v>9.35</v>
      </c>
      <c r="O121" s="8">
        <v>45144</v>
      </c>
      <c r="P121" s="8">
        <v>45149</v>
      </c>
      <c r="Q121" s="6" t="s">
        <v>446</v>
      </c>
      <c r="R121" s="3">
        <f t="shared" si="3"/>
        <v>5095</v>
      </c>
    </row>
    <row r="122" spans="1:18" x14ac:dyDescent="0.3">
      <c r="A122" t="s">
        <v>166</v>
      </c>
      <c r="B122" s="1">
        <v>45315</v>
      </c>
      <c r="C122" t="s">
        <v>20</v>
      </c>
      <c r="D122" t="s">
        <v>22</v>
      </c>
      <c r="E122">
        <v>11</v>
      </c>
      <c r="F122" s="3">
        <v>259.61</v>
      </c>
      <c r="G122" s="6" t="s">
        <v>31</v>
      </c>
      <c r="H122" s="6" t="s">
        <v>33</v>
      </c>
      <c r="I122" s="10">
        <v>0.1</v>
      </c>
      <c r="J122" s="6" t="s">
        <v>38</v>
      </c>
      <c r="K122" s="6" t="s">
        <v>45</v>
      </c>
      <c r="L122" s="12">
        <v>0</v>
      </c>
      <c r="M122" s="6" t="s">
        <v>365</v>
      </c>
      <c r="N122" s="3">
        <v>13.73</v>
      </c>
      <c r="O122" s="8">
        <v>45315</v>
      </c>
      <c r="P122" s="8">
        <v>45322</v>
      </c>
      <c r="Q122" s="6" t="s">
        <v>446</v>
      </c>
      <c r="R122" s="3">
        <f t="shared" si="3"/>
        <v>2869.34</v>
      </c>
    </row>
    <row r="123" spans="1:18" x14ac:dyDescent="0.3">
      <c r="A123" t="s">
        <v>167</v>
      </c>
      <c r="B123" s="1">
        <v>45358</v>
      </c>
      <c r="C123" t="s">
        <v>20</v>
      </c>
      <c r="D123" t="s">
        <v>25</v>
      </c>
      <c r="E123">
        <v>9</v>
      </c>
      <c r="F123" s="3">
        <v>313.29000000000002</v>
      </c>
      <c r="G123" s="6" t="s">
        <v>32</v>
      </c>
      <c r="H123" s="6" t="s">
        <v>34</v>
      </c>
      <c r="I123" s="10">
        <v>0</v>
      </c>
      <c r="J123" s="6" t="s">
        <v>38</v>
      </c>
      <c r="K123" s="6" t="s">
        <v>41</v>
      </c>
      <c r="L123" s="12">
        <v>0</v>
      </c>
      <c r="M123" s="6" t="s">
        <v>366</v>
      </c>
      <c r="N123" s="3">
        <v>14.04</v>
      </c>
      <c r="O123" s="8">
        <v>45358</v>
      </c>
      <c r="P123" s="8">
        <v>45364</v>
      </c>
      <c r="Q123" s="6" t="s">
        <v>446</v>
      </c>
      <c r="R123" s="3">
        <f t="shared" si="3"/>
        <v>2833.65</v>
      </c>
    </row>
    <row r="124" spans="1:18" x14ac:dyDescent="0.3">
      <c r="A124" t="s">
        <v>168</v>
      </c>
      <c r="B124" s="1">
        <v>45313</v>
      </c>
      <c r="C124" t="s">
        <v>18</v>
      </c>
      <c r="D124" t="s">
        <v>27</v>
      </c>
      <c r="E124">
        <v>5</v>
      </c>
      <c r="F124" s="3">
        <v>106.57</v>
      </c>
      <c r="G124" s="6" t="s">
        <v>31</v>
      </c>
      <c r="H124" s="6" t="s">
        <v>33</v>
      </c>
      <c r="I124" s="10">
        <v>0.1</v>
      </c>
      <c r="J124" s="6" t="s">
        <v>38</v>
      </c>
      <c r="K124" s="6" t="s">
        <v>44</v>
      </c>
      <c r="L124" s="12">
        <v>1</v>
      </c>
      <c r="M124" s="6" t="s">
        <v>367</v>
      </c>
      <c r="N124" s="3">
        <v>25.24</v>
      </c>
      <c r="O124" s="8">
        <v>45313</v>
      </c>
      <c r="P124" s="8">
        <v>45319</v>
      </c>
      <c r="Q124" s="6" t="s">
        <v>444</v>
      </c>
      <c r="R124" s="3">
        <f t="shared" si="3"/>
        <v>557.9899999999999</v>
      </c>
    </row>
    <row r="125" spans="1:18" x14ac:dyDescent="0.3">
      <c r="A125" t="s">
        <v>169</v>
      </c>
      <c r="B125" s="1">
        <v>44980</v>
      </c>
      <c r="C125" t="s">
        <v>17</v>
      </c>
      <c r="D125" t="s">
        <v>28</v>
      </c>
      <c r="E125">
        <v>1</v>
      </c>
      <c r="F125" s="3">
        <v>109</v>
      </c>
      <c r="G125" s="6" t="s">
        <v>29</v>
      </c>
      <c r="H125" s="6" t="s">
        <v>34</v>
      </c>
      <c r="I125" s="10">
        <v>0.15</v>
      </c>
      <c r="J125" s="6" t="s">
        <v>37</v>
      </c>
      <c r="K125" s="6" t="s">
        <v>45</v>
      </c>
      <c r="L125" s="12">
        <v>1</v>
      </c>
      <c r="M125" s="6" t="s">
        <v>368</v>
      </c>
      <c r="N125" s="3">
        <v>8.0299999999999994</v>
      </c>
      <c r="O125" s="8">
        <v>44980</v>
      </c>
      <c r="P125" s="8">
        <v>44984</v>
      </c>
      <c r="Q125" s="6" t="s">
        <v>443</v>
      </c>
      <c r="R125" s="3">
        <f t="shared" si="3"/>
        <v>116.88</v>
      </c>
    </row>
    <row r="126" spans="1:18" x14ac:dyDescent="0.3">
      <c r="A126" t="s">
        <v>170</v>
      </c>
      <c r="B126" s="1">
        <v>45091</v>
      </c>
      <c r="C126" t="s">
        <v>19</v>
      </c>
      <c r="D126" t="s">
        <v>27</v>
      </c>
      <c r="E126">
        <v>8</v>
      </c>
      <c r="F126" s="3">
        <v>323.8</v>
      </c>
      <c r="G126" s="6" t="s">
        <v>29</v>
      </c>
      <c r="H126" s="6" t="s">
        <v>34</v>
      </c>
      <c r="I126" s="10">
        <v>0</v>
      </c>
      <c r="J126" s="6" t="s">
        <v>39</v>
      </c>
      <c r="K126" s="6" t="s">
        <v>45</v>
      </c>
      <c r="L126" s="12">
        <v>1</v>
      </c>
      <c r="M126" s="6" t="s">
        <v>369</v>
      </c>
      <c r="N126" s="3">
        <v>35.229999999999997</v>
      </c>
      <c r="O126" s="8">
        <v>45091</v>
      </c>
      <c r="P126" s="8">
        <v>45099</v>
      </c>
      <c r="Q126" s="6" t="s">
        <v>445</v>
      </c>
      <c r="R126" s="3">
        <f t="shared" si="3"/>
        <v>2625.63</v>
      </c>
    </row>
    <row r="127" spans="1:18" x14ac:dyDescent="0.3">
      <c r="A127" t="s">
        <v>171</v>
      </c>
      <c r="B127" s="1">
        <v>45790</v>
      </c>
      <c r="C127" t="s">
        <v>19</v>
      </c>
      <c r="D127" t="s">
        <v>22</v>
      </c>
      <c r="E127">
        <v>16</v>
      </c>
      <c r="F127" s="3">
        <v>384.32</v>
      </c>
      <c r="G127" s="6" t="s">
        <v>30</v>
      </c>
      <c r="H127" s="6" t="s">
        <v>34</v>
      </c>
      <c r="I127" s="10">
        <v>0.05</v>
      </c>
      <c r="J127" s="6" t="s">
        <v>37</v>
      </c>
      <c r="K127" s="6" t="s">
        <v>45</v>
      </c>
      <c r="L127" s="12">
        <v>0</v>
      </c>
      <c r="M127" s="6" t="s">
        <v>370</v>
      </c>
      <c r="N127" s="3">
        <v>21.5</v>
      </c>
      <c r="O127" s="8">
        <v>45790</v>
      </c>
      <c r="P127" s="8">
        <v>45792</v>
      </c>
      <c r="Q127" s="6" t="s">
        <v>445</v>
      </c>
      <c r="R127" s="3">
        <f t="shared" si="3"/>
        <v>6170.57</v>
      </c>
    </row>
    <row r="128" spans="1:18" x14ac:dyDescent="0.3">
      <c r="A128" t="s">
        <v>172</v>
      </c>
      <c r="B128" s="1">
        <v>45503</v>
      </c>
      <c r="C128" t="s">
        <v>20</v>
      </c>
      <c r="D128" t="s">
        <v>28</v>
      </c>
      <c r="E128">
        <v>16</v>
      </c>
      <c r="F128" s="3">
        <v>163.86</v>
      </c>
      <c r="G128" s="6" t="s">
        <v>31</v>
      </c>
      <c r="H128" s="6" t="s">
        <v>34</v>
      </c>
      <c r="I128" s="10">
        <v>0.15</v>
      </c>
      <c r="J128" s="6" t="s">
        <v>39</v>
      </c>
      <c r="K128" s="6" t="s">
        <v>42</v>
      </c>
      <c r="L128" s="12">
        <v>0</v>
      </c>
      <c r="M128" s="6" t="s">
        <v>371</v>
      </c>
      <c r="N128" s="3">
        <v>37.950000000000003</v>
      </c>
      <c r="O128" s="8">
        <v>45503</v>
      </c>
      <c r="P128" s="8">
        <v>45510</v>
      </c>
      <c r="Q128" s="6" t="s">
        <v>446</v>
      </c>
      <c r="R128" s="3">
        <f t="shared" si="3"/>
        <v>2659.56</v>
      </c>
    </row>
    <row r="129" spans="1:18" x14ac:dyDescent="0.3">
      <c r="A129" t="s">
        <v>173</v>
      </c>
      <c r="B129" s="1">
        <v>45491</v>
      </c>
      <c r="C129" t="s">
        <v>17</v>
      </c>
      <c r="D129" t="s">
        <v>27</v>
      </c>
      <c r="E129">
        <v>5</v>
      </c>
      <c r="F129" s="3">
        <v>23.41</v>
      </c>
      <c r="G129" s="6" t="s">
        <v>29</v>
      </c>
      <c r="H129" s="6" t="s">
        <v>33</v>
      </c>
      <c r="I129" s="10">
        <v>0</v>
      </c>
      <c r="J129" s="6" t="s">
        <v>37</v>
      </c>
      <c r="K129" s="6" t="s">
        <v>43</v>
      </c>
      <c r="L129" s="12">
        <v>0</v>
      </c>
      <c r="M129" s="6" t="s">
        <v>372</v>
      </c>
      <c r="N129" s="3">
        <v>26.44</v>
      </c>
      <c r="O129" s="8">
        <v>45491</v>
      </c>
      <c r="P129" s="8">
        <v>45500</v>
      </c>
      <c r="Q129" s="6" t="s">
        <v>443</v>
      </c>
      <c r="R129" s="3">
        <f t="shared" si="3"/>
        <v>143.49</v>
      </c>
    </row>
    <row r="130" spans="1:18" x14ac:dyDescent="0.3">
      <c r="A130" t="s">
        <v>174</v>
      </c>
      <c r="B130" s="1">
        <v>45530</v>
      </c>
      <c r="C130" t="s">
        <v>17</v>
      </c>
      <c r="D130" t="s">
        <v>28</v>
      </c>
      <c r="E130">
        <v>20</v>
      </c>
      <c r="F130" s="3">
        <v>488.9</v>
      </c>
      <c r="G130" s="6" t="s">
        <v>31</v>
      </c>
      <c r="H130" s="6" t="s">
        <v>33</v>
      </c>
      <c r="I130" s="10">
        <v>0.15</v>
      </c>
      <c r="J130" s="6" t="s">
        <v>35</v>
      </c>
      <c r="K130" s="6" t="s">
        <v>42</v>
      </c>
      <c r="L130" s="12">
        <v>0</v>
      </c>
      <c r="M130" s="6" t="s">
        <v>373</v>
      </c>
      <c r="N130" s="3">
        <v>21.77</v>
      </c>
      <c r="O130" s="8">
        <v>45530</v>
      </c>
      <c r="P130" s="8">
        <v>45536</v>
      </c>
      <c r="Q130" s="6" t="s">
        <v>443</v>
      </c>
      <c r="R130" s="3">
        <f t="shared" ref="R130:R161" si="4">(E130*F130)-I130+N130</f>
        <v>9799.6200000000008</v>
      </c>
    </row>
    <row r="131" spans="1:18" x14ac:dyDescent="0.3">
      <c r="A131" t="s">
        <v>175</v>
      </c>
      <c r="B131" s="1">
        <v>45816</v>
      </c>
      <c r="C131" t="s">
        <v>21</v>
      </c>
      <c r="D131" t="s">
        <v>27</v>
      </c>
      <c r="E131">
        <v>7</v>
      </c>
      <c r="F131" s="3">
        <v>452.56</v>
      </c>
      <c r="G131" s="6" t="s">
        <v>30</v>
      </c>
      <c r="H131" s="6" t="s">
        <v>33</v>
      </c>
      <c r="I131" s="10">
        <v>0.05</v>
      </c>
      <c r="J131" s="6" t="s">
        <v>37</v>
      </c>
      <c r="K131" s="6" t="s">
        <v>42</v>
      </c>
      <c r="L131" s="12">
        <v>0</v>
      </c>
      <c r="M131" s="6" t="s">
        <v>374</v>
      </c>
      <c r="N131" s="3">
        <v>46.97</v>
      </c>
      <c r="O131" s="8">
        <v>45816</v>
      </c>
      <c r="P131" s="8">
        <v>45823</v>
      </c>
      <c r="Q131" s="6" t="s">
        <v>447</v>
      </c>
      <c r="R131" s="3">
        <f t="shared" si="4"/>
        <v>3214.8399999999997</v>
      </c>
    </row>
    <row r="132" spans="1:18" x14ac:dyDescent="0.3">
      <c r="A132" t="s">
        <v>176</v>
      </c>
      <c r="B132" s="1">
        <v>45793</v>
      </c>
      <c r="C132" t="s">
        <v>19</v>
      </c>
      <c r="D132" t="s">
        <v>24</v>
      </c>
      <c r="E132">
        <v>11</v>
      </c>
      <c r="F132" s="3">
        <v>465.24</v>
      </c>
      <c r="G132" s="6" t="s">
        <v>30</v>
      </c>
      <c r="H132" s="6" t="s">
        <v>33</v>
      </c>
      <c r="I132" s="10">
        <v>0</v>
      </c>
      <c r="J132" s="6" t="s">
        <v>38</v>
      </c>
      <c r="K132" s="6" t="s">
        <v>44</v>
      </c>
      <c r="L132" s="12">
        <v>1</v>
      </c>
      <c r="M132" s="6" t="s">
        <v>375</v>
      </c>
      <c r="N132" s="3">
        <v>17.59</v>
      </c>
      <c r="O132" s="8">
        <v>45793</v>
      </c>
      <c r="P132" s="8">
        <v>45800</v>
      </c>
      <c r="Q132" s="6" t="s">
        <v>445</v>
      </c>
      <c r="R132" s="3">
        <f t="shared" si="4"/>
        <v>5135.2300000000005</v>
      </c>
    </row>
    <row r="133" spans="1:18" x14ac:dyDescent="0.3">
      <c r="A133" t="s">
        <v>177</v>
      </c>
      <c r="B133" s="1">
        <v>45491</v>
      </c>
      <c r="C133" t="s">
        <v>17</v>
      </c>
      <c r="D133" t="s">
        <v>23</v>
      </c>
      <c r="E133">
        <v>14</v>
      </c>
      <c r="F133" s="3">
        <v>442.65</v>
      </c>
      <c r="G133" s="6" t="s">
        <v>29</v>
      </c>
      <c r="H133" s="6" t="s">
        <v>34</v>
      </c>
      <c r="I133" s="10">
        <v>0</v>
      </c>
      <c r="J133" s="6" t="s">
        <v>35</v>
      </c>
      <c r="K133" s="6" t="s">
        <v>42</v>
      </c>
      <c r="L133" s="12">
        <v>0</v>
      </c>
      <c r="M133" s="6" t="s">
        <v>376</v>
      </c>
      <c r="N133" s="3">
        <v>28.76</v>
      </c>
      <c r="O133" s="8">
        <v>45491</v>
      </c>
      <c r="P133" s="8">
        <v>45497</v>
      </c>
      <c r="Q133" s="6" t="s">
        <v>443</v>
      </c>
      <c r="R133" s="3">
        <f t="shared" si="4"/>
        <v>6225.86</v>
      </c>
    </row>
    <row r="134" spans="1:18" x14ac:dyDescent="0.3">
      <c r="A134" t="s">
        <v>178</v>
      </c>
      <c r="B134" s="1">
        <v>45186</v>
      </c>
      <c r="C134" t="s">
        <v>21</v>
      </c>
      <c r="D134" t="s">
        <v>22</v>
      </c>
      <c r="E134">
        <v>12</v>
      </c>
      <c r="F134" s="3">
        <v>469.44</v>
      </c>
      <c r="G134" s="6" t="s">
        <v>29</v>
      </c>
      <c r="H134" s="6" t="s">
        <v>33</v>
      </c>
      <c r="I134" s="10">
        <v>0</v>
      </c>
      <c r="J134" s="6" t="s">
        <v>40</v>
      </c>
      <c r="K134" s="6" t="s">
        <v>41</v>
      </c>
      <c r="L134" s="12">
        <v>0</v>
      </c>
      <c r="M134" s="6" t="s">
        <v>377</v>
      </c>
      <c r="N134" s="3">
        <v>33.299999999999997</v>
      </c>
      <c r="O134" s="8">
        <v>45186</v>
      </c>
      <c r="P134" s="8">
        <v>45195</v>
      </c>
      <c r="Q134" s="6" t="s">
        <v>447</v>
      </c>
      <c r="R134" s="3">
        <f t="shared" si="4"/>
        <v>5666.58</v>
      </c>
    </row>
    <row r="135" spans="1:18" x14ac:dyDescent="0.3">
      <c r="A135" t="s">
        <v>179</v>
      </c>
      <c r="B135" s="1">
        <v>44998</v>
      </c>
      <c r="C135" t="s">
        <v>17</v>
      </c>
      <c r="D135" t="s">
        <v>26</v>
      </c>
      <c r="E135">
        <v>14</v>
      </c>
      <c r="F135" s="3">
        <v>248.77</v>
      </c>
      <c r="G135" s="6" t="s">
        <v>31</v>
      </c>
      <c r="H135" s="6" t="s">
        <v>33</v>
      </c>
      <c r="I135" s="10">
        <v>0.05</v>
      </c>
      <c r="J135" s="6" t="s">
        <v>40</v>
      </c>
      <c r="K135" s="6" t="s">
        <v>44</v>
      </c>
      <c r="L135" s="12">
        <v>1</v>
      </c>
      <c r="M135" s="6" t="s">
        <v>378</v>
      </c>
      <c r="N135" s="3">
        <v>21.76</v>
      </c>
      <c r="O135" s="8">
        <v>44998</v>
      </c>
      <c r="P135" s="8">
        <v>45004</v>
      </c>
      <c r="Q135" s="6" t="s">
        <v>443</v>
      </c>
      <c r="R135" s="3">
        <f t="shared" si="4"/>
        <v>3504.4900000000002</v>
      </c>
    </row>
    <row r="136" spans="1:18" x14ac:dyDescent="0.3">
      <c r="A136" t="s">
        <v>180</v>
      </c>
      <c r="B136" s="1">
        <v>45014</v>
      </c>
      <c r="C136" t="s">
        <v>18</v>
      </c>
      <c r="D136" t="s">
        <v>25</v>
      </c>
      <c r="E136">
        <v>4</v>
      </c>
      <c r="F136" s="3">
        <v>565.29</v>
      </c>
      <c r="G136" s="6" t="s">
        <v>32</v>
      </c>
      <c r="H136" s="6" t="s">
        <v>33</v>
      </c>
      <c r="I136" s="10">
        <v>0.05</v>
      </c>
      <c r="J136" s="6" t="s">
        <v>36</v>
      </c>
      <c r="K136" s="6" t="s">
        <v>45</v>
      </c>
      <c r="L136" s="12">
        <v>0</v>
      </c>
      <c r="M136" s="6" t="s">
        <v>379</v>
      </c>
      <c r="N136" s="3">
        <v>27.04</v>
      </c>
      <c r="O136" s="8">
        <v>45014</v>
      </c>
      <c r="P136" s="8">
        <v>45019</v>
      </c>
      <c r="Q136" s="6" t="s">
        <v>444</v>
      </c>
      <c r="R136" s="3">
        <f t="shared" si="4"/>
        <v>2288.1499999999996</v>
      </c>
    </row>
    <row r="137" spans="1:18" x14ac:dyDescent="0.3">
      <c r="A137" t="s">
        <v>181</v>
      </c>
      <c r="B137" s="1">
        <v>45121</v>
      </c>
      <c r="C137" t="s">
        <v>20</v>
      </c>
      <c r="D137" t="s">
        <v>24</v>
      </c>
      <c r="E137">
        <v>12</v>
      </c>
      <c r="F137" s="3">
        <v>244.8</v>
      </c>
      <c r="G137" s="6" t="s">
        <v>29</v>
      </c>
      <c r="H137" s="6" t="s">
        <v>33</v>
      </c>
      <c r="I137" s="10">
        <v>0.05</v>
      </c>
      <c r="J137" s="6" t="s">
        <v>37</v>
      </c>
      <c r="K137" s="6" t="s">
        <v>41</v>
      </c>
      <c r="L137" s="12">
        <v>0</v>
      </c>
      <c r="M137" s="6" t="s">
        <v>380</v>
      </c>
      <c r="N137" s="3">
        <v>44.75</v>
      </c>
      <c r="O137" s="8">
        <v>45121</v>
      </c>
      <c r="P137" s="8">
        <v>45130</v>
      </c>
      <c r="Q137" s="6" t="s">
        <v>446</v>
      </c>
      <c r="R137" s="3">
        <f t="shared" si="4"/>
        <v>2982.3</v>
      </c>
    </row>
    <row r="138" spans="1:18" x14ac:dyDescent="0.3">
      <c r="A138" t="s">
        <v>182</v>
      </c>
      <c r="B138" s="1">
        <v>45373</v>
      </c>
      <c r="C138" t="s">
        <v>21</v>
      </c>
      <c r="D138" t="s">
        <v>22</v>
      </c>
      <c r="E138">
        <v>13</v>
      </c>
      <c r="F138" s="3">
        <v>290.93</v>
      </c>
      <c r="G138" s="6" t="s">
        <v>31</v>
      </c>
      <c r="H138" s="6" t="s">
        <v>34</v>
      </c>
      <c r="I138" s="10">
        <v>0.05</v>
      </c>
      <c r="J138" s="6" t="s">
        <v>39</v>
      </c>
      <c r="K138" s="6" t="s">
        <v>43</v>
      </c>
      <c r="L138" s="12">
        <v>0</v>
      </c>
      <c r="M138" s="6" t="s">
        <v>381</v>
      </c>
      <c r="N138" s="3">
        <v>26.09</v>
      </c>
      <c r="O138" s="8">
        <v>45373</v>
      </c>
      <c r="P138" s="8">
        <v>45382</v>
      </c>
      <c r="Q138" s="6" t="s">
        <v>447</v>
      </c>
      <c r="R138" s="3">
        <f t="shared" si="4"/>
        <v>3808.13</v>
      </c>
    </row>
    <row r="139" spans="1:18" x14ac:dyDescent="0.3">
      <c r="A139" t="s">
        <v>183</v>
      </c>
      <c r="B139" s="1">
        <v>45426</v>
      </c>
      <c r="C139" t="s">
        <v>20</v>
      </c>
      <c r="D139" t="s">
        <v>22</v>
      </c>
      <c r="E139">
        <v>11</v>
      </c>
      <c r="F139" s="3">
        <v>229.49</v>
      </c>
      <c r="G139" s="6" t="s">
        <v>31</v>
      </c>
      <c r="H139" s="6" t="s">
        <v>34</v>
      </c>
      <c r="I139" s="10">
        <v>0.1</v>
      </c>
      <c r="J139" s="6" t="s">
        <v>40</v>
      </c>
      <c r="K139" s="6" t="s">
        <v>45</v>
      </c>
      <c r="L139" s="12">
        <v>0</v>
      </c>
      <c r="M139" s="6" t="s">
        <v>382</v>
      </c>
      <c r="N139" s="3">
        <v>35.39</v>
      </c>
      <c r="O139" s="8">
        <v>45426</v>
      </c>
      <c r="P139" s="8">
        <v>45429</v>
      </c>
      <c r="Q139" s="6" t="s">
        <v>446</v>
      </c>
      <c r="R139" s="3">
        <f t="shared" si="4"/>
        <v>2559.6800000000003</v>
      </c>
    </row>
    <row r="140" spans="1:18" x14ac:dyDescent="0.3">
      <c r="A140" t="s">
        <v>184</v>
      </c>
      <c r="B140" s="1">
        <v>45076</v>
      </c>
      <c r="C140" t="s">
        <v>20</v>
      </c>
      <c r="D140" t="s">
        <v>26</v>
      </c>
      <c r="E140">
        <v>2</v>
      </c>
      <c r="F140" s="3">
        <v>427.36</v>
      </c>
      <c r="G140" s="6" t="s">
        <v>30</v>
      </c>
      <c r="H140" s="6" t="s">
        <v>33</v>
      </c>
      <c r="I140" s="10">
        <v>0.05</v>
      </c>
      <c r="J140" s="6" t="s">
        <v>39</v>
      </c>
      <c r="K140" s="6" t="s">
        <v>41</v>
      </c>
      <c r="L140" s="12">
        <v>0</v>
      </c>
      <c r="M140" s="6" t="s">
        <v>383</v>
      </c>
      <c r="N140" s="3">
        <v>19.420000000000002</v>
      </c>
      <c r="O140" s="8">
        <v>45076</v>
      </c>
      <c r="P140" s="8">
        <v>45079</v>
      </c>
      <c r="Q140" s="6" t="s">
        <v>446</v>
      </c>
      <c r="R140" s="3">
        <f t="shared" si="4"/>
        <v>874.09</v>
      </c>
    </row>
    <row r="141" spans="1:18" x14ac:dyDescent="0.3">
      <c r="A141" t="s">
        <v>185</v>
      </c>
      <c r="B141" s="1">
        <v>45004</v>
      </c>
      <c r="C141" t="s">
        <v>19</v>
      </c>
      <c r="D141" t="s">
        <v>23</v>
      </c>
      <c r="E141">
        <v>2</v>
      </c>
      <c r="F141" s="3">
        <v>443.51</v>
      </c>
      <c r="G141" s="6" t="s">
        <v>31</v>
      </c>
      <c r="H141" s="6" t="s">
        <v>33</v>
      </c>
      <c r="I141" s="10">
        <v>0.05</v>
      </c>
      <c r="J141" s="6" t="s">
        <v>36</v>
      </c>
      <c r="K141" s="6" t="s">
        <v>45</v>
      </c>
      <c r="L141" s="12">
        <v>0</v>
      </c>
      <c r="M141" s="6" t="s">
        <v>384</v>
      </c>
      <c r="N141" s="3">
        <v>13.65</v>
      </c>
      <c r="O141" s="8">
        <v>45004</v>
      </c>
      <c r="P141" s="8">
        <v>45007</v>
      </c>
      <c r="Q141" s="6" t="s">
        <v>445</v>
      </c>
      <c r="R141" s="3">
        <f t="shared" si="4"/>
        <v>900.62</v>
      </c>
    </row>
    <row r="142" spans="1:18" x14ac:dyDescent="0.3">
      <c r="A142" t="s">
        <v>186</v>
      </c>
      <c r="B142" s="1">
        <v>45147</v>
      </c>
      <c r="C142" t="s">
        <v>20</v>
      </c>
      <c r="D142" t="s">
        <v>24</v>
      </c>
      <c r="E142">
        <v>13</v>
      </c>
      <c r="F142" s="3">
        <v>280.63</v>
      </c>
      <c r="G142" s="6" t="s">
        <v>29</v>
      </c>
      <c r="H142" s="6" t="s">
        <v>33</v>
      </c>
      <c r="I142" s="10">
        <v>0.15</v>
      </c>
      <c r="J142" s="6" t="s">
        <v>36</v>
      </c>
      <c r="K142" s="6" t="s">
        <v>43</v>
      </c>
      <c r="L142" s="12">
        <v>0</v>
      </c>
      <c r="M142" s="6" t="s">
        <v>385</v>
      </c>
      <c r="N142" s="3">
        <v>10.14</v>
      </c>
      <c r="O142" s="8">
        <v>45147</v>
      </c>
      <c r="P142" s="8">
        <v>45152</v>
      </c>
      <c r="Q142" s="6" t="s">
        <v>446</v>
      </c>
      <c r="R142" s="3">
        <f t="shared" si="4"/>
        <v>3658.18</v>
      </c>
    </row>
    <row r="143" spans="1:18" x14ac:dyDescent="0.3">
      <c r="A143" t="s">
        <v>187</v>
      </c>
      <c r="B143" s="1">
        <v>45578</v>
      </c>
      <c r="C143" t="s">
        <v>19</v>
      </c>
      <c r="D143" t="s">
        <v>25</v>
      </c>
      <c r="E143">
        <v>13</v>
      </c>
      <c r="F143" s="3">
        <v>416.66</v>
      </c>
      <c r="G143" s="6" t="s">
        <v>29</v>
      </c>
      <c r="H143" s="6" t="s">
        <v>33</v>
      </c>
      <c r="I143" s="10">
        <v>0.15</v>
      </c>
      <c r="J143" s="6" t="s">
        <v>40</v>
      </c>
      <c r="K143" s="6" t="s">
        <v>43</v>
      </c>
      <c r="L143" s="12">
        <v>0</v>
      </c>
      <c r="M143" s="6" t="s">
        <v>386</v>
      </c>
      <c r="N143" s="3">
        <v>21.74</v>
      </c>
      <c r="O143" s="8">
        <v>45578</v>
      </c>
      <c r="P143" s="8">
        <v>45585</v>
      </c>
      <c r="Q143" s="6" t="s">
        <v>445</v>
      </c>
      <c r="R143" s="3">
        <f t="shared" si="4"/>
        <v>5438.17</v>
      </c>
    </row>
    <row r="144" spans="1:18" x14ac:dyDescent="0.3">
      <c r="A144" t="s">
        <v>188</v>
      </c>
      <c r="B144" s="1">
        <v>45705</v>
      </c>
      <c r="C144" t="s">
        <v>17</v>
      </c>
      <c r="D144" t="s">
        <v>25</v>
      </c>
      <c r="E144">
        <v>11</v>
      </c>
      <c r="F144" s="3">
        <v>589.48</v>
      </c>
      <c r="G144" s="6" t="s">
        <v>29</v>
      </c>
      <c r="H144" s="6" t="s">
        <v>34</v>
      </c>
      <c r="I144" s="10">
        <v>0</v>
      </c>
      <c r="J144" s="6" t="s">
        <v>36</v>
      </c>
      <c r="K144" s="6" t="s">
        <v>41</v>
      </c>
      <c r="L144" s="12">
        <v>0</v>
      </c>
      <c r="M144" s="6" t="s">
        <v>387</v>
      </c>
      <c r="N144" s="3">
        <v>49.93</v>
      </c>
      <c r="O144" s="8">
        <v>45705</v>
      </c>
      <c r="P144" s="8">
        <v>45713</v>
      </c>
      <c r="Q144" s="6" t="s">
        <v>443</v>
      </c>
      <c r="R144" s="3">
        <f t="shared" si="4"/>
        <v>6534.2100000000009</v>
      </c>
    </row>
    <row r="145" spans="1:18" x14ac:dyDescent="0.3">
      <c r="A145" t="s">
        <v>189</v>
      </c>
      <c r="B145" s="1">
        <v>45819</v>
      </c>
      <c r="C145" t="s">
        <v>19</v>
      </c>
      <c r="D145" t="s">
        <v>23</v>
      </c>
      <c r="E145">
        <v>18</v>
      </c>
      <c r="F145" s="3">
        <v>152.84</v>
      </c>
      <c r="G145" s="6" t="s">
        <v>31</v>
      </c>
      <c r="H145" s="6" t="s">
        <v>34</v>
      </c>
      <c r="I145" s="10">
        <v>0.15</v>
      </c>
      <c r="J145" s="6" t="s">
        <v>39</v>
      </c>
      <c r="K145" s="6" t="s">
        <v>44</v>
      </c>
      <c r="L145" s="12">
        <v>1</v>
      </c>
      <c r="M145" s="6" t="s">
        <v>388</v>
      </c>
      <c r="N145" s="3">
        <v>20.3</v>
      </c>
      <c r="O145" s="8">
        <v>45819</v>
      </c>
      <c r="P145" s="8">
        <v>45828</v>
      </c>
      <c r="Q145" s="6" t="s">
        <v>445</v>
      </c>
      <c r="R145" s="3">
        <f t="shared" si="4"/>
        <v>2771.27</v>
      </c>
    </row>
    <row r="146" spans="1:18" x14ac:dyDescent="0.3">
      <c r="A146" t="s">
        <v>190</v>
      </c>
      <c r="B146" s="1">
        <v>45411</v>
      </c>
      <c r="C146" t="s">
        <v>20</v>
      </c>
      <c r="D146" t="s">
        <v>27</v>
      </c>
      <c r="E146">
        <v>4</v>
      </c>
      <c r="F146" s="3">
        <v>163.66</v>
      </c>
      <c r="G146" s="6" t="s">
        <v>29</v>
      </c>
      <c r="H146" s="6" t="s">
        <v>34</v>
      </c>
      <c r="I146" s="10">
        <v>0</v>
      </c>
      <c r="J146" s="6" t="s">
        <v>40</v>
      </c>
      <c r="K146" s="6" t="s">
        <v>42</v>
      </c>
      <c r="L146" s="12">
        <v>1</v>
      </c>
      <c r="M146" s="6" t="s">
        <v>389</v>
      </c>
      <c r="N146" s="3">
        <v>31.8</v>
      </c>
      <c r="O146" s="8">
        <v>45411</v>
      </c>
      <c r="P146" s="8">
        <v>45413</v>
      </c>
      <c r="Q146" s="6" t="s">
        <v>446</v>
      </c>
      <c r="R146" s="3">
        <f t="shared" si="4"/>
        <v>686.43999999999994</v>
      </c>
    </row>
    <row r="147" spans="1:18" x14ac:dyDescent="0.3">
      <c r="A147" t="s">
        <v>191</v>
      </c>
      <c r="B147" s="1">
        <v>45003</v>
      </c>
      <c r="C147" t="s">
        <v>21</v>
      </c>
      <c r="D147" t="s">
        <v>22</v>
      </c>
      <c r="E147">
        <v>19</v>
      </c>
      <c r="F147" s="3">
        <v>484.25</v>
      </c>
      <c r="G147" s="6" t="s">
        <v>31</v>
      </c>
      <c r="H147" s="6" t="s">
        <v>33</v>
      </c>
      <c r="I147" s="10">
        <v>0.15</v>
      </c>
      <c r="J147" s="6" t="s">
        <v>40</v>
      </c>
      <c r="K147" s="6" t="s">
        <v>44</v>
      </c>
      <c r="L147" s="12">
        <v>1</v>
      </c>
      <c r="M147" s="6" t="s">
        <v>390</v>
      </c>
      <c r="N147" s="3">
        <v>29.51</v>
      </c>
      <c r="O147" s="8">
        <v>45003</v>
      </c>
      <c r="P147" s="8">
        <v>45005</v>
      </c>
      <c r="Q147" s="6" t="s">
        <v>447</v>
      </c>
      <c r="R147" s="3">
        <f t="shared" si="4"/>
        <v>9230.11</v>
      </c>
    </row>
    <row r="148" spans="1:18" x14ac:dyDescent="0.3">
      <c r="A148" t="s">
        <v>192</v>
      </c>
      <c r="B148" s="1">
        <v>45647</v>
      </c>
      <c r="C148" t="s">
        <v>19</v>
      </c>
      <c r="D148" t="s">
        <v>25</v>
      </c>
      <c r="E148">
        <v>9</v>
      </c>
      <c r="F148" s="3">
        <v>380.4</v>
      </c>
      <c r="G148" s="6" t="s">
        <v>29</v>
      </c>
      <c r="H148" s="6" t="s">
        <v>34</v>
      </c>
      <c r="I148" s="10">
        <v>0.1</v>
      </c>
      <c r="J148" s="6" t="s">
        <v>38</v>
      </c>
      <c r="K148" s="6" t="s">
        <v>43</v>
      </c>
      <c r="L148" s="12">
        <v>0</v>
      </c>
      <c r="M148" s="6" t="s">
        <v>391</v>
      </c>
      <c r="N148" s="3">
        <v>31</v>
      </c>
      <c r="O148" s="8">
        <v>45647</v>
      </c>
      <c r="P148" s="8">
        <v>45653</v>
      </c>
      <c r="Q148" s="6" t="s">
        <v>445</v>
      </c>
      <c r="R148" s="3">
        <f t="shared" si="4"/>
        <v>3454.5</v>
      </c>
    </row>
    <row r="149" spans="1:18" x14ac:dyDescent="0.3">
      <c r="A149" t="s">
        <v>193</v>
      </c>
      <c r="B149" s="1">
        <v>45039</v>
      </c>
      <c r="C149" t="s">
        <v>21</v>
      </c>
      <c r="D149" t="s">
        <v>25</v>
      </c>
      <c r="E149">
        <v>17</v>
      </c>
      <c r="F149" s="3">
        <v>332.38</v>
      </c>
      <c r="G149" s="6" t="s">
        <v>30</v>
      </c>
      <c r="H149" s="6" t="s">
        <v>34</v>
      </c>
      <c r="I149" s="10">
        <v>0.1</v>
      </c>
      <c r="J149" s="6" t="s">
        <v>37</v>
      </c>
      <c r="K149" s="6" t="s">
        <v>43</v>
      </c>
      <c r="L149" s="12">
        <v>1</v>
      </c>
      <c r="M149" s="6" t="s">
        <v>392</v>
      </c>
      <c r="N149" s="3">
        <v>33.81</v>
      </c>
      <c r="O149" s="8">
        <v>45039</v>
      </c>
      <c r="P149" s="8">
        <v>45048</v>
      </c>
      <c r="Q149" s="6" t="s">
        <v>447</v>
      </c>
      <c r="R149" s="3">
        <f t="shared" si="4"/>
        <v>5684.17</v>
      </c>
    </row>
    <row r="150" spans="1:18" x14ac:dyDescent="0.3">
      <c r="A150" t="s">
        <v>194</v>
      </c>
      <c r="B150" s="1">
        <v>45788</v>
      </c>
      <c r="C150" t="s">
        <v>20</v>
      </c>
      <c r="D150" t="s">
        <v>25</v>
      </c>
      <c r="E150">
        <v>15</v>
      </c>
      <c r="F150" s="3">
        <v>210.94</v>
      </c>
      <c r="G150" s="6" t="s">
        <v>31</v>
      </c>
      <c r="H150" s="6" t="s">
        <v>33</v>
      </c>
      <c r="I150" s="10">
        <v>0.05</v>
      </c>
      <c r="J150" s="6" t="s">
        <v>37</v>
      </c>
      <c r="K150" s="6" t="s">
        <v>41</v>
      </c>
      <c r="L150" s="12">
        <v>0</v>
      </c>
      <c r="M150" s="6" t="s">
        <v>393</v>
      </c>
      <c r="N150" s="3">
        <v>10.91</v>
      </c>
      <c r="O150" s="8">
        <v>45788</v>
      </c>
      <c r="P150" s="8">
        <v>45798</v>
      </c>
      <c r="Q150" s="6" t="s">
        <v>446</v>
      </c>
      <c r="R150" s="3">
        <f t="shared" si="4"/>
        <v>3174.9599999999996</v>
      </c>
    </row>
    <row r="151" spans="1:18" x14ac:dyDescent="0.3">
      <c r="A151" t="s">
        <v>195</v>
      </c>
      <c r="B151" s="1">
        <v>45354</v>
      </c>
      <c r="C151" t="s">
        <v>18</v>
      </c>
      <c r="D151" t="s">
        <v>23</v>
      </c>
      <c r="E151">
        <v>9</v>
      </c>
      <c r="F151" s="3">
        <v>382.8</v>
      </c>
      <c r="G151" s="6" t="s">
        <v>32</v>
      </c>
      <c r="H151" s="6" t="s">
        <v>33</v>
      </c>
      <c r="I151" s="10">
        <v>0</v>
      </c>
      <c r="J151" s="6" t="s">
        <v>35</v>
      </c>
      <c r="K151" s="6" t="s">
        <v>45</v>
      </c>
      <c r="L151" s="12">
        <v>0</v>
      </c>
      <c r="M151" s="6" t="s">
        <v>394</v>
      </c>
      <c r="N151" s="3">
        <v>47.94</v>
      </c>
      <c r="O151" s="8">
        <v>45354</v>
      </c>
      <c r="P151" s="8">
        <v>45356</v>
      </c>
      <c r="Q151" s="6" t="s">
        <v>444</v>
      </c>
      <c r="R151" s="3">
        <f t="shared" si="4"/>
        <v>3493.1400000000003</v>
      </c>
    </row>
    <row r="152" spans="1:18" x14ac:dyDescent="0.3">
      <c r="A152" t="s">
        <v>196</v>
      </c>
      <c r="B152" s="1">
        <v>45677</v>
      </c>
      <c r="C152" t="s">
        <v>19</v>
      </c>
      <c r="D152" t="s">
        <v>26</v>
      </c>
      <c r="E152">
        <v>3</v>
      </c>
      <c r="F152" s="3">
        <v>386.29</v>
      </c>
      <c r="G152" s="6" t="s">
        <v>31</v>
      </c>
      <c r="H152" s="6" t="s">
        <v>34</v>
      </c>
      <c r="I152" s="10">
        <v>0.15</v>
      </c>
      <c r="J152" s="6" t="s">
        <v>38</v>
      </c>
      <c r="K152" s="6" t="s">
        <v>43</v>
      </c>
      <c r="L152" s="12">
        <v>0</v>
      </c>
      <c r="M152" s="6" t="s">
        <v>395</v>
      </c>
      <c r="N152" s="3">
        <v>32.450000000000003</v>
      </c>
      <c r="O152" s="8">
        <v>45677</v>
      </c>
      <c r="P152" s="8">
        <v>45687</v>
      </c>
      <c r="Q152" s="6" t="s">
        <v>445</v>
      </c>
      <c r="R152" s="3">
        <f t="shared" si="4"/>
        <v>1191.17</v>
      </c>
    </row>
    <row r="153" spans="1:18" x14ac:dyDescent="0.3">
      <c r="A153" t="s">
        <v>197</v>
      </c>
      <c r="B153" s="1">
        <v>45738</v>
      </c>
      <c r="C153" t="s">
        <v>19</v>
      </c>
      <c r="D153" t="s">
        <v>27</v>
      </c>
      <c r="E153">
        <v>5</v>
      </c>
      <c r="F153" s="3">
        <v>225.99</v>
      </c>
      <c r="G153" s="6" t="s">
        <v>31</v>
      </c>
      <c r="H153" s="6" t="s">
        <v>34</v>
      </c>
      <c r="I153" s="10">
        <v>0</v>
      </c>
      <c r="J153" s="6" t="s">
        <v>35</v>
      </c>
      <c r="K153" s="6" t="s">
        <v>41</v>
      </c>
      <c r="L153" s="12">
        <v>1</v>
      </c>
      <c r="M153" s="6" t="s">
        <v>396</v>
      </c>
      <c r="N153" s="3">
        <v>10.88</v>
      </c>
      <c r="O153" s="8">
        <v>45738</v>
      </c>
      <c r="P153" s="8">
        <v>45746</v>
      </c>
      <c r="Q153" s="6" t="s">
        <v>445</v>
      </c>
      <c r="R153" s="3">
        <f t="shared" si="4"/>
        <v>1140.8300000000002</v>
      </c>
    </row>
    <row r="154" spans="1:18" x14ac:dyDescent="0.3">
      <c r="A154" t="s">
        <v>198</v>
      </c>
      <c r="B154" s="1">
        <v>45744</v>
      </c>
      <c r="C154" t="s">
        <v>18</v>
      </c>
      <c r="D154" t="s">
        <v>28</v>
      </c>
      <c r="E154">
        <v>20</v>
      </c>
      <c r="F154" s="3">
        <v>312.56</v>
      </c>
      <c r="G154" s="6" t="s">
        <v>32</v>
      </c>
      <c r="H154" s="6" t="s">
        <v>34</v>
      </c>
      <c r="I154" s="10">
        <v>0.15</v>
      </c>
      <c r="J154" s="6" t="s">
        <v>37</v>
      </c>
      <c r="K154" s="6" t="s">
        <v>42</v>
      </c>
      <c r="L154" s="12">
        <v>0</v>
      </c>
      <c r="M154" s="6" t="s">
        <v>249</v>
      </c>
      <c r="N154" s="3">
        <v>47.39</v>
      </c>
      <c r="O154" s="8">
        <v>45744</v>
      </c>
      <c r="P154" s="8">
        <v>45746</v>
      </c>
      <c r="Q154" s="6" t="s">
        <v>444</v>
      </c>
      <c r="R154" s="3">
        <f t="shared" si="4"/>
        <v>6298.4400000000005</v>
      </c>
    </row>
    <row r="155" spans="1:18" x14ac:dyDescent="0.3">
      <c r="A155" t="s">
        <v>199</v>
      </c>
      <c r="B155" s="1">
        <v>45705</v>
      </c>
      <c r="C155" t="s">
        <v>19</v>
      </c>
      <c r="D155" t="s">
        <v>23</v>
      </c>
      <c r="E155">
        <v>13</v>
      </c>
      <c r="F155" s="3">
        <v>433.77</v>
      </c>
      <c r="G155" s="6" t="s">
        <v>31</v>
      </c>
      <c r="H155" s="6" t="s">
        <v>33</v>
      </c>
      <c r="I155" s="10">
        <v>0.05</v>
      </c>
      <c r="J155" s="6" t="s">
        <v>37</v>
      </c>
      <c r="K155" s="6" t="s">
        <v>45</v>
      </c>
      <c r="L155" s="12">
        <v>0</v>
      </c>
      <c r="M155" s="6" t="s">
        <v>397</v>
      </c>
      <c r="N155" s="3">
        <v>17.61</v>
      </c>
      <c r="O155" s="8">
        <v>45705</v>
      </c>
      <c r="P155" s="8">
        <v>45709</v>
      </c>
      <c r="Q155" s="6" t="s">
        <v>445</v>
      </c>
      <c r="R155" s="3">
        <f t="shared" si="4"/>
        <v>5656.57</v>
      </c>
    </row>
    <row r="156" spans="1:18" x14ac:dyDescent="0.3">
      <c r="A156" t="s">
        <v>200</v>
      </c>
      <c r="B156" s="1">
        <v>45604</v>
      </c>
      <c r="C156" t="s">
        <v>18</v>
      </c>
      <c r="D156" t="s">
        <v>27</v>
      </c>
      <c r="E156">
        <v>20</v>
      </c>
      <c r="F156" s="3">
        <v>159.33000000000001</v>
      </c>
      <c r="G156" s="6" t="s">
        <v>30</v>
      </c>
      <c r="H156" s="6" t="s">
        <v>33</v>
      </c>
      <c r="I156" s="10">
        <v>0</v>
      </c>
      <c r="J156" s="6" t="s">
        <v>35</v>
      </c>
      <c r="K156" s="6" t="s">
        <v>41</v>
      </c>
      <c r="L156" s="12">
        <v>0</v>
      </c>
      <c r="M156" s="6" t="s">
        <v>398</v>
      </c>
      <c r="N156" s="3">
        <v>26.32</v>
      </c>
      <c r="O156" s="8">
        <v>45604</v>
      </c>
      <c r="P156" s="8">
        <v>45607</v>
      </c>
      <c r="Q156" s="6" t="s">
        <v>444</v>
      </c>
      <c r="R156" s="3">
        <f t="shared" si="4"/>
        <v>3212.9200000000005</v>
      </c>
    </row>
    <row r="157" spans="1:18" x14ac:dyDescent="0.3">
      <c r="A157" t="s">
        <v>201</v>
      </c>
      <c r="B157" s="1">
        <v>45368</v>
      </c>
      <c r="C157" t="s">
        <v>18</v>
      </c>
      <c r="D157" t="s">
        <v>23</v>
      </c>
      <c r="E157">
        <v>18</v>
      </c>
      <c r="F157" s="3">
        <v>32.229999999999997</v>
      </c>
      <c r="G157" s="6" t="s">
        <v>29</v>
      </c>
      <c r="H157" s="6" t="s">
        <v>34</v>
      </c>
      <c r="I157" s="10">
        <v>0.05</v>
      </c>
      <c r="J157" s="6" t="s">
        <v>40</v>
      </c>
      <c r="K157" s="6" t="s">
        <v>43</v>
      </c>
      <c r="L157" s="12">
        <v>0</v>
      </c>
      <c r="M157" s="6" t="s">
        <v>399</v>
      </c>
      <c r="N157" s="3">
        <v>6.04</v>
      </c>
      <c r="O157" s="8">
        <v>45368</v>
      </c>
      <c r="P157" s="8">
        <v>45372</v>
      </c>
      <c r="Q157" s="6" t="s">
        <v>444</v>
      </c>
      <c r="R157" s="3">
        <f t="shared" si="4"/>
        <v>586.13</v>
      </c>
    </row>
    <row r="158" spans="1:18" x14ac:dyDescent="0.3">
      <c r="A158" t="s">
        <v>202</v>
      </c>
      <c r="B158" s="1">
        <v>45167</v>
      </c>
      <c r="C158" t="s">
        <v>18</v>
      </c>
      <c r="D158" t="s">
        <v>26</v>
      </c>
      <c r="E158">
        <v>3</v>
      </c>
      <c r="F158" s="3">
        <v>527.77</v>
      </c>
      <c r="G158" s="6" t="s">
        <v>31</v>
      </c>
      <c r="H158" s="6" t="s">
        <v>34</v>
      </c>
      <c r="I158" s="10">
        <v>0.1</v>
      </c>
      <c r="J158" s="6" t="s">
        <v>40</v>
      </c>
      <c r="K158" s="6" t="s">
        <v>45</v>
      </c>
      <c r="L158" s="12">
        <v>0</v>
      </c>
      <c r="M158" s="6" t="s">
        <v>400</v>
      </c>
      <c r="N158" s="3">
        <v>48.66</v>
      </c>
      <c r="O158" s="8">
        <v>45167</v>
      </c>
      <c r="P158" s="8">
        <v>45170</v>
      </c>
      <c r="Q158" s="6" t="s">
        <v>444</v>
      </c>
      <c r="R158" s="3">
        <f t="shared" si="4"/>
        <v>1631.8700000000001</v>
      </c>
    </row>
    <row r="159" spans="1:18" x14ac:dyDescent="0.3">
      <c r="A159" t="s">
        <v>203</v>
      </c>
      <c r="B159" s="1">
        <v>45099</v>
      </c>
      <c r="C159" t="s">
        <v>18</v>
      </c>
      <c r="D159" t="s">
        <v>25</v>
      </c>
      <c r="E159">
        <v>14</v>
      </c>
      <c r="F159" s="3">
        <v>291.08999999999997</v>
      </c>
      <c r="G159" s="6" t="s">
        <v>30</v>
      </c>
      <c r="H159" s="6" t="s">
        <v>34</v>
      </c>
      <c r="I159" s="10">
        <v>0</v>
      </c>
      <c r="J159" s="6" t="s">
        <v>38</v>
      </c>
      <c r="K159" s="6" t="s">
        <v>45</v>
      </c>
      <c r="L159" s="12">
        <v>0</v>
      </c>
      <c r="M159" s="6" t="s">
        <v>401</v>
      </c>
      <c r="N159" s="3">
        <v>39.979999999999997</v>
      </c>
      <c r="O159" s="8">
        <v>45099</v>
      </c>
      <c r="P159" s="8">
        <v>45107</v>
      </c>
      <c r="Q159" s="6" t="s">
        <v>444</v>
      </c>
      <c r="R159" s="3">
        <f t="shared" si="4"/>
        <v>4115.24</v>
      </c>
    </row>
    <row r="160" spans="1:18" x14ac:dyDescent="0.3">
      <c r="A160" t="s">
        <v>204</v>
      </c>
      <c r="B160" s="1">
        <v>45346</v>
      </c>
      <c r="C160" t="s">
        <v>18</v>
      </c>
      <c r="D160" t="s">
        <v>23</v>
      </c>
      <c r="E160">
        <v>8</v>
      </c>
      <c r="F160" s="3">
        <v>350.12</v>
      </c>
      <c r="G160" s="6" t="s">
        <v>31</v>
      </c>
      <c r="H160" s="6" t="s">
        <v>34</v>
      </c>
      <c r="I160" s="10">
        <v>0</v>
      </c>
      <c r="J160" s="6" t="s">
        <v>36</v>
      </c>
      <c r="K160" s="6" t="s">
        <v>42</v>
      </c>
      <c r="L160" s="12">
        <v>1</v>
      </c>
      <c r="M160" s="6" t="s">
        <v>402</v>
      </c>
      <c r="N160" s="3">
        <v>31.65</v>
      </c>
      <c r="O160" s="8">
        <v>45346</v>
      </c>
      <c r="P160" s="8">
        <v>45352</v>
      </c>
      <c r="Q160" s="6" t="s">
        <v>444</v>
      </c>
      <c r="R160" s="3">
        <f t="shared" si="4"/>
        <v>2832.61</v>
      </c>
    </row>
    <row r="161" spans="1:18" x14ac:dyDescent="0.3">
      <c r="A161" t="s">
        <v>205</v>
      </c>
      <c r="B161" s="1">
        <v>45392</v>
      </c>
      <c r="C161" t="s">
        <v>19</v>
      </c>
      <c r="D161" t="s">
        <v>23</v>
      </c>
      <c r="E161">
        <v>10</v>
      </c>
      <c r="F161" s="3">
        <v>195.26</v>
      </c>
      <c r="G161" s="6" t="s">
        <v>32</v>
      </c>
      <c r="H161" s="6" t="s">
        <v>34</v>
      </c>
      <c r="I161" s="10">
        <v>0.05</v>
      </c>
      <c r="J161" s="6" t="s">
        <v>36</v>
      </c>
      <c r="K161" s="6" t="s">
        <v>43</v>
      </c>
      <c r="L161" s="12">
        <v>0</v>
      </c>
      <c r="M161" s="6" t="s">
        <v>403</v>
      </c>
      <c r="N161" s="3">
        <v>46.91</v>
      </c>
      <c r="O161" s="8">
        <v>45392</v>
      </c>
      <c r="P161" s="8">
        <v>45397</v>
      </c>
      <c r="Q161" s="6" t="s">
        <v>445</v>
      </c>
      <c r="R161" s="3">
        <f t="shared" si="4"/>
        <v>1999.46</v>
      </c>
    </row>
    <row r="162" spans="1:18" x14ac:dyDescent="0.3">
      <c r="A162" t="s">
        <v>206</v>
      </c>
      <c r="B162" s="1">
        <v>45060</v>
      </c>
      <c r="C162" t="s">
        <v>18</v>
      </c>
      <c r="D162" t="s">
        <v>26</v>
      </c>
      <c r="E162">
        <v>13</v>
      </c>
      <c r="F162" s="3">
        <v>291.10000000000002</v>
      </c>
      <c r="G162" s="6" t="s">
        <v>30</v>
      </c>
      <c r="H162" s="6" t="s">
        <v>33</v>
      </c>
      <c r="I162" s="10">
        <v>0</v>
      </c>
      <c r="J162" s="6" t="s">
        <v>36</v>
      </c>
      <c r="K162" s="6" t="s">
        <v>41</v>
      </c>
      <c r="L162" s="12">
        <v>0</v>
      </c>
      <c r="M162" s="6" t="s">
        <v>404</v>
      </c>
      <c r="N162" s="3">
        <v>7.66</v>
      </c>
      <c r="O162" s="8">
        <v>45060</v>
      </c>
      <c r="P162" s="8">
        <v>45065</v>
      </c>
      <c r="Q162" s="6" t="s">
        <v>444</v>
      </c>
      <c r="R162" s="3">
        <f t="shared" ref="R162:R193" si="5">(E162*F162)-I162+N162</f>
        <v>3791.96</v>
      </c>
    </row>
    <row r="163" spans="1:18" x14ac:dyDescent="0.3">
      <c r="A163" t="s">
        <v>207</v>
      </c>
      <c r="B163" s="1">
        <v>44996</v>
      </c>
      <c r="C163" t="s">
        <v>18</v>
      </c>
      <c r="D163" t="s">
        <v>26</v>
      </c>
      <c r="E163">
        <v>6</v>
      </c>
      <c r="F163" s="3">
        <v>93.92</v>
      </c>
      <c r="G163" s="6" t="s">
        <v>29</v>
      </c>
      <c r="H163" s="6" t="s">
        <v>33</v>
      </c>
      <c r="I163" s="10">
        <v>0.15</v>
      </c>
      <c r="J163" s="6" t="s">
        <v>35</v>
      </c>
      <c r="K163" s="6" t="s">
        <v>43</v>
      </c>
      <c r="L163" s="12">
        <v>0</v>
      </c>
      <c r="M163" s="6" t="s">
        <v>405</v>
      </c>
      <c r="N163" s="3">
        <v>11</v>
      </c>
      <c r="O163" s="8">
        <v>44996</v>
      </c>
      <c r="P163" s="8">
        <v>45003</v>
      </c>
      <c r="Q163" s="6" t="s">
        <v>444</v>
      </c>
      <c r="R163" s="3">
        <f t="shared" si="5"/>
        <v>574.37</v>
      </c>
    </row>
    <row r="164" spans="1:18" x14ac:dyDescent="0.3">
      <c r="A164" t="s">
        <v>208</v>
      </c>
      <c r="B164" s="1">
        <v>45528</v>
      </c>
      <c r="C164" t="s">
        <v>20</v>
      </c>
      <c r="D164" t="s">
        <v>28</v>
      </c>
      <c r="E164">
        <v>5</v>
      </c>
      <c r="F164" s="3">
        <v>15.92</v>
      </c>
      <c r="G164" s="6" t="s">
        <v>32</v>
      </c>
      <c r="H164" s="6" t="s">
        <v>34</v>
      </c>
      <c r="I164" s="10">
        <v>0</v>
      </c>
      <c r="J164" s="6" t="s">
        <v>35</v>
      </c>
      <c r="K164" s="6" t="s">
        <v>43</v>
      </c>
      <c r="L164" s="12">
        <v>1</v>
      </c>
      <c r="M164" s="6" t="s">
        <v>406</v>
      </c>
      <c r="N164" s="3">
        <v>8.66</v>
      </c>
      <c r="O164" s="8">
        <v>45528</v>
      </c>
      <c r="P164" s="8">
        <v>45530</v>
      </c>
      <c r="Q164" s="6" t="s">
        <v>446</v>
      </c>
      <c r="R164" s="3">
        <f t="shared" si="5"/>
        <v>88.259999999999991</v>
      </c>
    </row>
    <row r="165" spans="1:18" x14ac:dyDescent="0.3">
      <c r="A165" t="s">
        <v>209</v>
      </c>
      <c r="B165" s="1">
        <v>45345</v>
      </c>
      <c r="C165" t="s">
        <v>18</v>
      </c>
      <c r="D165" t="s">
        <v>26</v>
      </c>
      <c r="E165">
        <v>16</v>
      </c>
      <c r="F165" s="3">
        <v>120.22</v>
      </c>
      <c r="G165" s="6" t="s">
        <v>32</v>
      </c>
      <c r="H165" s="6" t="s">
        <v>34</v>
      </c>
      <c r="I165" s="10">
        <v>0.15</v>
      </c>
      <c r="J165" s="6" t="s">
        <v>40</v>
      </c>
      <c r="K165" s="6" t="s">
        <v>45</v>
      </c>
      <c r="L165" s="12">
        <v>0</v>
      </c>
      <c r="M165" s="6" t="s">
        <v>407</v>
      </c>
      <c r="N165" s="3">
        <v>8.42</v>
      </c>
      <c r="O165" s="8">
        <v>45345</v>
      </c>
      <c r="P165" s="8">
        <v>45352</v>
      </c>
      <c r="Q165" s="6" t="s">
        <v>444</v>
      </c>
      <c r="R165" s="3">
        <f t="shared" si="5"/>
        <v>1931.79</v>
      </c>
    </row>
    <row r="166" spans="1:18" x14ac:dyDescent="0.3">
      <c r="A166" t="s">
        <v>210</v>
      </c>
      <c r="B166" s="1">
        <v>45321</v>
      </c>
      <c r="C166" t="s">
        <v>19</v>
      </c>
      <c r="D166" t="s">
        <v>26</v>
      </c>
      <c r="E166">
        <v>11</v>
      </c>
      <c r="F166" s="3">
        <v>118.8</v>
      </c>
      <c r="G166" s="6" t="s">
        <v>30</v>
      </c>
      <c r="H166" s="6" t="s">
        <v>34</v>
      </c>
      <c r="I166" s="10">
        <v>0.05</v>
      </c>
      <c r="J166" s="6" t="s">
        <v>35</v>
      </c>
      <c r="K166" s="6" t="s">
        <v>41</v>
      </c>
      <c r="L166" s="12">
        <v>0</v>
      </c>
      <c r="M166" s="6" t="s">
        <v>408</v>
      </c>
      <c r="N166" s="3">
        <v>39.32</v>
      </c>
      <c r="O166" s="8">
        <v>45321</v>
      </c>
      <c r="P166" s="8">
        <v>45328</v>
      </c>
      <c r="Q166" s="6" t="s">
        <v>445</v>
      </c>
      <c r="R166" s="3">
        <f t="shared" si="5"/>
        <v>1346.07</v>
      </c>
    </row>
    <row r="167" spans="1:18" x14ac:dyDescent="0.3">
      <c r="A167" t="s">
        <v>211</v>
      </c>
      <c r="B167" s="1">
        <v>45314</v>
      </c>
      <c r="C167" t="s">
        <v>17</v>
      </c>
      <c r="D167" t="s">
        <v>27</v>
      </c>
      <c r="E167">
        <v>10</v>
      </c>
      <c r="F167" s="3">
        <v>92.45</v>
      </c>
      <c r="G167" s="6" t="s">
        <v>31</v>
      </c>
      <c r="H167" s="6" t="s">
        <v>33</v>
      </c>
      <c r="I167" s="10">
        <v>0.1</v>
      </c>
      <c r="J167" s="6" t="s">
        <v>37</v>
      </c>
      <c r="K167" s="6" t="s">
        <v>45</v>
      </c>
      <c r="L167" s="12">
        <v>1</v>
      </c>
      <c r="M167" s="6" t="s">
        <v>409</v>
      </c>
      <c r="N167" s="3">
        <v>42.61</v>
      </c>
      <c r="O167" s="8">
        <v>45314</v>
      </c>
      <c r="P167" s="8">
        <v>45320</v>
      </c>
      <c r="Q167" s="6" t="s">
        <v>443</v>
      </c>
      <c r="R167" s="3">
        <f t="shared" si="5"/>
        <v>967.01</v>
      </c>
    </row>
    <row r="168" spans="1:18" x14ac:dyDescent="0.3">
      <c r="A168" t="s">
        <v>212</v>
      </c>
      <c r="B168" s="1">
        <v>44931</v>
      </c>
      <c r="C168" t="s">
        <v>19</v>
      </c>
      <c r="D168" t="s">
        <v>22</v>
      </c>
      <c r="E168">
        <v>19</v>
      </c>
      <c r="F168" s="3">
        <v>463.51</v>
      </c>
      <c r="G168" s="6" t="s">
        <v>29</v>
      </c>
      <c r="H168" s="6" t="s">
        <v>34</v>
      </c>
      <c r="I168" s="10">
        <v>0</v>
      </c>
      <c r="J168" s="6" t="s">
        <v>40</v>
      </c>
      <c r="K168" s="6" t="s">
        <v>45</v>
      </c>
      <c r="L168" s="12">
        <v>0</v>
      </c>
      <c r="M168" s="6" t="s">
        <v>410</v>
      </c>
      <c r="N168" s="3">
        <v>49.38</v>
      </c>
      <c r="O168" s="8">
        <v>44931</v>
      </c>
      <c r="P168" s="8">
        <v>44934</v>
      </c>
      <c r="Q168" s="6" t="s">
        <v>445</v>
      </c>
      <c r="R168" s="3">
        <f t="shared" si="5"/>
        <v>8856.07</v>
      </c>
    </row>
    <row r="169" spans="1:18" x14ac:dyDescent="0.3">
      <c r="A169" t="s">
        <v>213</v>
      </c>
      <c r="B169" s="1">
        <v>45281</v>
      </c>
      <c r="C169" t="s">
        <v>19</v>
      </c>
      <c r="D169" t="s">
        <v>24</v>
      </c>
      <c r="E169">
        <v>7</v>
      </c>
      <c r="F169" s="3">
        <v>284.7</v>
      </c>
      <c r="G169" s="6" t="s">
        <v>32</v>
      </c>
      <c r="H169" s="6" t="s">
        <v>33</v>
      </c>
      <c r="I169" s="10">
        <v>0.05</v>
      </c>
      <c r="J169" s="6" t="s">
        <v>40</v>
      </c>
      <c r="K169" s="6" t="s">
        <v>42</v>
      </c>
      <c r="L169" s="12">
        <v>0</v>
      </c>
      <c r="M169" s="6" t="s">
        <v>411</v>
      </c>
      <c r="N169" s="3">
        <v>5.36</v>
      </c>
      <c r="O169" s="8">
        <v>45281</v>
      </c>
      <c r="P169" s="8">
        <v>45290</v>
      </c>
      <c r="Q169" s="6" t="s">
        <v>445</v>
      </c>
      <c r="R169" s="3">
        <f t="shared" si="5"/>
        <v>1998.2099999999998</v>
      </c>
    </row>
    <row r="170" spans="1:18" x14ac:dyDescent="0.3">
      <c r="A170" t="s">
        <v>214</v>
      </c>
      <c r="B170" s="1">
        <v>45071</v>
      </c>
      <c r="C170" t="s">
        <v>21</v>
      </c>
      <c r="D170" t="s">
        <v>22</v>
      </c>
      <c r="E170">
        <v>20</v>
      </c>
      <c r="F170" s="3">
        <v>343.25</v>
      </c>
      <c r="G170" s="6" t="s">
        <v>31</v>
      </c>
      <c r="H170" s="6" t="s">
        <v>33</v>
      </c>
      <c r="I170" s="10">
        <v>0.05</v>
      </c>
      <c r="J170" s="6" t="s">
        <v>36</v>
      </c>
      <c r="K170" s="6" t="s">
        <v>44</v>
      </c>
      <c r="L170" s="12">
        <v>0</v>
      </c>
      <c r="M170" s="6" t="s">
        <v>412</v>
      </c>
      <c r="N170" s="3">
        <v>28.77</v>
      </c>
      <c r="O170" s="8">
        <v>45071</v>
      </c>
      <c r="P170" s="8">
        <v>45079</v>
      </c>
      <c r="Q170" s="6" t="s">
        <v>447</v>
      </c>
      <c r="R170" s="3">
        <f t="shared" si="5"/>
        <v>6893.72</v>
      </c>
    </row>
    <row r="171" spans="1:18" x14ac:dyDescent="0.3">
      <c r="A171" t="s">
        <v>215</v>
      </c>
      <c r="B171" s="1">
        <v>45838</v>
      </c>
      <c r="C171" t="s">
        <v>20</v>
      </c>
      <c r="D171" t="s">
        <v>25</v>
      </c>
      <c r="E171">
        <v>6</v>
      </c>
      <c r="F171" s="3">
        <v>95.24</v>
      </c>
      <c r="G171" s="6" t="s">
        <v>32</v>
      </c>
      <c r="H171" s="6" t="s">
        <v>33</v>
      </c>
      <c r="I171" s="10">
        <v>0.15</v>
      </c>
      <c r="J171" s="6" t="s">
        <v>39</v>
      </c>
      <c r="K171" s="6" t="s">
        <v>42</v>
      </c>
      <c r="L171" s="12">
        <v>0</v>
      </c>
      <c r="M171" s="6" t="s">
        <v>413</v>
      </c>
      <c r="N171" s="3">
        <v>18.72</v>
      </c>
      <c r="O171" s="8">
        <v>45838</v>
      </c>
      <c r="P171" s="8">
        <v>45846</v>
      </c>
      <c r="Q171" s="6" t="s">
        <v>446</v>
      </c>
      <c r="R171" s="3">
        <f t="shared" si="5"/>
        <v>590.01</v>
      </c>
    </row>
    <row r="172" spans="1:18" x14ac:dyDescent="0.3">
      <c r="A172" t="s">
        <v>216</v>
      </c>
      <c r="B172" s="1">
        <v>45700</v>
      </c>
      <c r="C172" t="s">
        <v>21</v>
      </c>
      <c r="D172" t="s">
        <v>24</v>
      </c>
      <c r="E172">
        <v>13</v>
      </c>
      <c r="F172" s="3">
        <v>104.8</v>
      </c>
      <c r="G172" s="6" t="s">
        <v>29</v>
      </c>
      <c r="H172" s="6" t="s">
        <v>34</v>
      </c>
      <c r="I172" s="10">
        <v>0.05</v>
      </c>
      <c r="J172" s="6" t="s">
        <v>39</v>
      </c>
      <c r="K172" s="6" t="s">
        <v>43</v>
      </c>
      <c r="L172" s="12">
        <v>0</v>
      </c>
      <c r="M172" s="6" t="s">
        <v>414</v>
      </c>
      <c r="N172" s="3">
        <v>7.79</v>
      </c>
      <c r="O172" s="8">
        <v>45700</v>
      </c>
      <c r="P172" s="8">
        <v>45707</v>
      </c>
      <c r="Q172" s="6" t="s">
        <v>447</v>
      </c>
      <c r="R172" s="3">
        <f t="shared" si="5"/>
        <v>1370.1399999999999</v>
      </c>
    </row>
    <row r="173" spans="1:18" x14ac:dyDescent="0.3">
      <c r="A173" t="s">
        <v>217</v>
      </c>
      <c r="B173" s="1">
        <v>45294</v>
      </c>
      <c r="C173" t="s">
        <v>21</v>
      </c>
      <c r="D173" t="s">
        <v>27</v>
      </c>
      <c r="E173">
        <v>12</v>
      </c>
      <c r="F173" s="3">
        <v>164.31</v>
      </c>
      <c r="G173" s="6" t="s">
        <v>29</v>
      </c>
      <c r="H173" s="6" t="s">
        <v>33</v>
      </c>
      <c r="I173" s="10">
        <v>0.1</v>
      </c>
      <c r="J173" s="6" t="s">
        <v>35</v>
      </c>
      <c r="K173" s="6" t="s">
        <v>45</v>
      </c>
      <c r="L173" s="12">
        <v>1</v>
      </c>
      <c r="M173" s="6" t="s">
        <v>415</v>
      </c>
      <c r="N173" s="3">
        <v>38.9</v>
      </c>
      <c r="O173" s="8">
        <v>45294</v>
      </c>
      <c r="P173" s="8">
        <v>45298</v>
      </c>
      <c r="Q173" s="6" t="s">
        <v>447</v>
      </c>
      <c r="R173" s="3">
        <f t="shared" si="5"/>
        <v>2010.5200000000002</v>
      </c>
    </row>
    <row r="174" spans="1:18" x14ac:dyDescent="0.3">
      <c r="A174" t="s">
        <v>218</v>
      </c>
      <c r="B174" s="1">
        <v>44960</v>
      </c>
      <c r="C174" t="s">
        <v>18</v>
      </c>
      <c r="D174" t="s">
        <v>27</v>
      </c>
      <c r="E174">
        <v>10</v>
      </c>
      <c r="F174" s="3">
        <v>325.18</v>
      </c>
      <c r="G174" s="6" t="s">
        <v>31</v>
      </c>
      <c r="H174" s="6" t="s">
        <v>33</v>
      </c>
      <c r="I174" s="10">
        <v>0.1</v>
      </c>
      <c r="J174" s="6" t="s">
        <v>36</v>
      </c>
      <c r="K174" s="6" t="s">
        <v>45</v>
      </c>
      <c r="L174" s="12">
        <v>0</v>
      </c>
      <c r="M174" s="6" t="s">
        <v>416</v>
      </c>
      <c r="N174" s="3">
        <v>47.39</v>
      </c>
      <c r="O174" s="8">
        <v>44960</v>
      </c>
      <c r="P174" s="8">
        <v>44970</v>
      </c>
      <c r="Q174" s="6" t="s">
        <v>444</v>
      </c>
      <c r="R174" s="3">
        <f t="shared" si="5"/>
        <v>3299.09</v>
      </c>
    </row>
    <row r="175" spans="1:18" x14ac:dyDescent="0.3">
      <c r="A175" t="s">
        <v>219</v>
      </c>
      <c r="B175" s="1">
        <v>45352</v>
      </c>
      <c r="C175" t="s">
        <v>17</v>
      </c>
      <c r="D175" t="s">
        <v>26</v>
      </c>
      <c r="E175">
        <v>17</v>
      </c>
      <c r="F175" s="3">
        <v>542.82000000000005</v>
      </c>
      <c r="G175" s="6" t="s">
        <v>30</v>
      </c>
      <c r="H175" s="6" t="s">
        <v>33</v>
      </c>
      <c r="I175" s="10">
        <v>0</v>
      </c>
      <c r="J175" s="6" t="s">
        <v>36</v>
      </c>
      <c r="K175" s="6" t="s">
        <v>44</v>
      </c>
      <c r="L175" s="12">
        <v>1</v>
      </c>
      <c r="M175" s="6" t="s">
        <v>417</v>
      </c>
      <c r="N175" s="3">
        <v>7.13</v>
      </c>
      <c r="O175" s="8">
        <v>45352</v>
      </c>
      <c r="P175" s="8">
        <v>45359</v>
      </c>
      <c r="Q175" s="6" t="s">
        <v>443</v>
      </c>
      <c r="R175" s="3">
        <f t="shared" si="5"/>
        <v>9235.07</v>
      </c>
    </row>
    <row r="176" spans="1:18" x14ac:dyDescent="0.3">
      <c r="A176" t="s">
        <v>220</v>
      </c>
      <c r="B176" s="1">
        <v>45070</v>
      </c>
      <c r="C176" t="s">
        <v>19</v>
      </c>
      <c r="D176" t="s">
        <v>27</v>
      </c>
      <c r="E176">
        <v>14</v>
      </c>
      <c r="F176" s="3">
        <v>207.48</v>
      </c>
      <c r="G176" s="6" t="s">
        <v>31</v>
      </c>
      <c r="H176" s="6" t="s">
        <v>33</v>
      </c>
      <c r="I176" s="10">
        <v>0.05</v>
      </c>
      <c r="J176" s="6" t="s">
        <v>35</v>
      </c>
      <c r="K176" s="6" t="s">
        <v>41</v>
      </c>
      <c r="L176" s="12">
        <v>0</v>
      </c>
      <c r="M176" s="6" t="s">
        <v>418</v>
      </c>
      <c r="N176" s="3">
        <v>5.7</v>
      </c>
      <c r="O176" s="8">
        <v>45070</v>
      </c>
      <c r="P176" s="8">
        <v>45079</v>
      </c>
      <c r="Q176" s="6" t="s">
        <v>445</v>
      </c>
      <c r="R176" s="3">
        <f t="shared" si="5"/>
        <v>2910.3699999999994</v>
      </c>
    </row>
    <row r="177" spans="1:18" x14ac:dyDescent="0.3">
      <c r="A177" t="s">
        <v>221</v>
      </c>
      <c r="B177" s="1">
        <v>45830</v>
      </c>
      <c r="C177" t="s">
        <v>19</v>
      </c>
      <c r="D177" t="s">
        <v>28</v>
      </c>
      <c r="E177">
        <v>17</v>
      </c>
      <c r="F177" s="3">
        <v>527.88</v>
      </c>
      <c r="G177" s="6" t="s">
        <v>32</v>
      </c>
      <c r="H177" s="6" t="s">
        <v>34</v>
      </c>
      <c r="I177" s="10">
        <v>0.05</v>
      </c>
      <c r="J177" s="6" t="s">
        <v>40</v>
      </c>
      <c r="K177" s="6" t="s">
        <v>45</v>
      </c>
      <c r="L177" s="12">
        <v>0</v>
      </c>
      <c r="M177" s="6" t="s">
        <v>419</v>
      </c>
      <c r="N177" s="3">
        <v>21.32</v>
      </c>
      <c r="O177" s="8">
        <v>45830</v>
      </c>
      <c r="P177" s="8">
        <v>45836</v>
      </c>
      <c r="Q177" s="6" t="s">
        <v>445</v>
      </c>
      <c r="R177" s="3">
        <f t="shared" si="5"/>
        <v>8995.23</v>
      </c>
    </row>
    <row r="178" spans="1:18" x14ac:dyDescent="0.3">
      <c r="A178" t="s">
        <v>222</v>
      </c>
      <c r="B178" s="1">
        <v>45026</v>
      </c>
      <c r="C178" t="s">
        <v>19</v>
      </c>
      <c r="D178" t="s">
        <v>25</v>
      </c>
      <c r="E178">
        <v>11</v>
      </c>
      <c r="F178" s="3">
        <v>71.209999999999994</v>
      </c>
      <c r="G178" s="6" t="s">
        <v>29</v>
      </c>
      <c r="H178" s="6" t="s">
        <v>34</v>
      </c>
      <c r="I178" s="10">
        <v>0.05</v>
      </c>
      <c r="J178" s="6" t="s">
        <v>39</v>
      </c>
      <c r="K178" s="6" t="s">
        <v>41</v>
      </c>
      <c r="L178" s="12">
        <v>1</v>
      </c>
      <c r="M178" s="6" t="s">
        <v>420</v>
      </c>
      <c r="N178" s="3">
        <v>44.2</v>
      </c>
      <c r="O178" s="8">
        <v>45026</v>
      </c>
      <c r="P178" s="8">
        <v>45030</v>
      </c>
      <c r="Q178" s="6" t="s">
        <v>445</v>
      </c>
      <c r="R178" s="3">
        <f t="shared" si="5"/>
        <v>827.46</v>
      </c>
    </row>
    <row r="179" spans="1:18" x14ac:dyDescent="0.3">
      <c r="A179" t="s">
        <v>223</v>
      </c>
      <c r="B179" s="1">
        <v>45720</v>
      </c>
      <c r="C179" t="s">
        <v>20</v>
      </c>
      <c r="D179" t="s">
        <v>28</v>
      </c>
      <c r="E179">
        <v>8</v>
      </c>
      <c r="F179" s="3">
        <v>486.07</v>
      </c>
      <c r="G179" s="6" t="s">
        <v>29</v>
      </c>
      <c r="H179" s="6" t="s">
        <v>34</v>
      </c>
      <c r="I179" s="10">
        <v>0</v>
      </c>
      <c r="J179" s="6" t="s">
        <v>38</v>
      </c>
      <c r="K179" s="6" t="s">
        <v>44</v>
      </c>
      <c r="L179" s="12">
        <v>0</v>
      </c>
      <c r="M179" s="6" t="s">
        <v>421</v>
      </c>
      <c r="N179" s="3">
        <v>10.68</v>
      </c>
      <c r="O179" s="8">
        <v>45720</v>
      </c>
      <c r="P179" s="8">
        <v>45726</v>
      </c>
      <c r="Q179" s="6" t="s">
        <v>446</v>
      </c>
      <c r="R179" s="3">
        <f t="shared" si="5"/>
        <v>3899.24</v>
      </c>
    </row>
    <row r="180" spans="1:18" x14ac:dyDescent="0.3">
      <c r="A180" t="s">
        <v>224</v>
      </c>
      <c r="B180" s="1">
        <v>45484</v>
      </c>
      <c r="C180" t="s">
        <v>17</v>
      </c>
      <c r="D180" t="s">
        <v>22</v>
      </c>
      <c r="E180">
        <v>6</v>
      </c>
      <c r="F180" s="3">
        <v>555.03</v>
      </c>
      <c r="G180" s="6" t="s">
        <v>31</v>
      </c>
      <c r="H180" s="6" t="s">
        <v>34</v>
      </c>
      <c r="I180" s="10">
        <v>0.1</v>
      </c>
      <c r="J180" s="6" t="s">
        <v>37</v>
      </c>
      <c r="K180" s="6" t="s">
        <v>43</v>
      </c>
      <c r="L180" s="12">
        <v>1</v>
      </c>
      <c r="M180" s="6" t="s">
        <v>422</v>
      </c>
      <c r="N180" s="3">
        <v>23.69</v>
      </c>
      <c r="O180" s="8">
        <v>45484</v>
      </c>
      <c r="P180" s="8">
        <v>45493</v>
      </c>
      <c r="Q180" s="6" t="s">
        <v>443</v>
      </c>
      <c r="R180" s="3">
        <f t="shared" si="5"/>
        <v>3353.77</v>
      </c>
    </row>
    <row r="181" spans="1:18" x14ac:dyDescent="0.3">
      <c r="A181" t="s">
        <v>225</v>
      </c>
      <c r="B181" s="1">
        <v>45521</v>
      </c>
      <c r="C181" t="s">
        <v>17</v>
      </c>
      <c r="D181" t="s">
        <v>24</v>
      </c>
      <c r="E181">
        <v>13</v>
      </c>
      <c r="F181" s="3">
        <v>421.08</v>
      </c>
      <c r="G181" s="6" t="s">
        <v>29</v>
      </c>
      <c r="H181" s="6" t="s">
        <v>33</v>
      </c>
      <c r="I181" s="10">
        <v>0</v>
      </c>
      <c r="J181" s="6" t="s">
        <v>40</v>
      </c>
      <c r="K181" s="6" t="s">
        <v>45</v>
      </c>
      <c r="L181" s="12">
        <v>0</v>
      </c>
      <c r="M181" s="6" t="s">
        <v>423</v>
      </c>
      <c r="N181" s="3">
        <v>24.51</v>
      </c>
      <c r="O181" s="8">
        <v>45521</v>
      </c>
      <c r="P181" s="8">
        <v>45524</v>
      </c>
      <c r="Q181" s="6" t="s">
        <v>443</v>
      </c>
      <c r="R181" s="3">
        <f t="shared" si="5"/>
        <v>5498.55</v>
      </c>
    </row>
    <row r="182" spans="1:18" x14ac:dyDescent="0.3">
      <c r="A182" t="s">
        <v>226</v>
      </c>
      <c r="B182" s="1">
        <v>45838</v>
      </c>
      <c r="C182" t="s">
        <v>19</v>
      </c>
      <c r="D182" t="s">
        <v>22</v>
      </c>
      <c r="E182">
        <v>16</v>
      </c>
      <c r="F182" s="3">
        <v>76.17</v>
      </c>
      <c r="G182" s="6" t="s">
        <v>32</v>
      </c>
      <c r="H182" s="6" t="s">
        <v>33</v>
      </c>
      <c r="I182" s="10">
        <v>0.1</v>
      </c>
      <c r="J182" s="6" t="s">
        <v>36</v>
      </c>
      <c r="K182" s="6" t="s">
        <v>45</v>
      </c>
      <c r="L182" s="12">
        <v>0</v>
      </c>
      <c r="M182" s="6" t="s">
        <v>424</v>
      </c>
      <c r="N182" s="3">
        <v>41.88</v>
      </c>
      <c r="O182" s="8">
        <v>45838</v>
      </c>
      <c r="P182" s="8">
        <v>45847</v>
      </c>
      <c r="Q182" s="6" t="s">
        <v>445</v>
      </c>
      <c r="R182" s="3">
        <f t="shared" si="5"/>
        <v>1260.5000000000002</v>
      </c>
    </row>
    <row r="183" spans="1:18" x14ac:dyDescent="0.3">
      <c r="A183" t="s">
        <v>227</v>
      </c>
      <c r="B183" s="1">
        <v>45602</v>
      </c>
      <c r="C183" t="s">
        <v>18</v>
      </c>
      <c r="D183" t="s">
        <v>28</v>
      </c>
      <c r="E183">
        <v>3</v>
      </c>
      <c r="F183" s="3">
        <v>503.55</v>
      </c>
      <c r="G183" s="6" t="s">
        <v>31</v>
      </c>
      <c r="H183" s="6" t="s">
        <v>33</v>
      </c>
      <c r="I183" s="10">
        <v>0.1</v>
      </c>
      <c r="J183" s="6" t="s">
        <v>40</v>
      </c>
      <c r="K183" s="6" t="s">
        <v>43</v>
      </c>
      <c r="L183" s="12">
        <v>0</v>
      </c>
      <c r="M183" s="6" t="s">
        <v>425</v>
      </c>
      <c r="N183" s="3">
        <v>37.49</v>
      </c>
      <c r="O183" s="8">
        <v>45602</v>
      </c>
      <c r="P183" s="8">
        <v>45609</v>
      </c>
      <c r="Q183" s="6" t="s">
        <v>444</v>
      </c>
      <c r="R183" s="3">
        <f t="shared" si="5"/>
        <v>1548.0400000000002</v>
      </c>
    </row>
    <row r="184" spans="1:18" x14ac:dyDescent="0.3">
      <c r="A184" t="s">
        <v>228</v>
      </c>
      <c r="B184" s="1">
        <v>45748</v>
      </c>
      <c r="C184" t="s">
        <v>17</v>
      </c>
      <c r="D184" t="s">
        <v>27</v>
      </c>
      <c r="E184">
        <v>5</v>
      </c>
      <c r="F184" s="3">
        <v>31.56</v>
      </c>
      <c r="G184" s="6" t="s">
        <v>32</v>
      </c>
      <c r="H184" s="6" t="s">
        <v>34</v>
      </c>
      <c r="I184" s="10">
        <v>0</v>
      </c>
      <c r="J184" s="6" t="s">
        <v>39</v>
      </c>
      <c r="K184" s="6" t="s">
        <v>41</v>
      </c>
      <c r="L184" s="12">
        <v>1</v>
      </c>
      <c r="M184" s="6" t="s">
        <v>426</v>
      </c>
      <c r="N184" s="3">
        <v>29.56</v>
      </c>
      <c r="O184" s="8">
        <v>45748</v>
      </c>
      <c r="P184" s="8">
        <v>45751</v>
      </c>
      <c r="Q184" s="6" t="s">
        <v>443</v>
      </c>
      <c r="R184" s="3">
        <f t="shared" si="5"/>
        <v>187.35999999999999</v>
      </c>
    </row>
    <row r="185" spans="1:18" x14ac:dyDescent="0.3">
      <c r="A185" t="s">
        <v>229</v>
      </c>
      <c r="B185" s="1">
        <v>45474</v>
      </c>
      <c r="C185" t="s">
        <v>21</v>
      </c>
      <c r="D185" t="s">
        <v>22</v>
      </c>
      <c r="E185">
        <v>16</v>
      </c>
      <c r="F185" s="3">
        <v>72.92</v>
      </c>
      <c r="G185" s="6" t="s">
        <v>31</v>
      </c>
      <c r="H185" s="6" t="s">
        <v>33</v>
      </c>
      <c r="I185" s="10">
        <v>0.05</v>
      </c>
      <c r="J185" s="6" t="s">
        <v>37</v>
      </c>
      <c r="K185" s="6" t="s">
        <v>45</v>
      </c>
      <c r="L185" s="12">
        <v>0</v>
      </c>
      <c r="M185" s="6" t="s">
        <v>427</v>
      </c>
      <c r="N185" s="3">
        <v>5.7</v>
      </c>
      <c r="O185" s="8">
        <v>45474</v>
      </c>
      <c r="P185" s="8">
        <v>45479</v>
      </c>
      <c r="Q185" s="6" t="s">
        <v>447</v>
      </c>
      <c r="R185" s="3">
        <f t="shared" si="5"/>
        <v>1172.3700000000001</v>
      </c>
    </row>
    <row r="186" spans="1:18" x14ac:dyDescent="0.3">
      <c r="A186" t="s">
        <v>230</v>
      </c>
      <c r="B186" s="1">
        <v>45269</v>
      </c>
      <c r="C186" t="s">
        <v>21</v>
      </c>
      <c r="D186" t="s">
        <v>28</v>
      </c>
      <c r="E186">
        <v>18</v>
      </c>
      <c r="F186" s="3">
        <v>421.93</v>
      </c>
      <c r="G186" s="6" t="s">
        <v>32</v>
      </c>
      <c r="H186" s="6" t="s">
        <v>34</v>
      </c>
      <c r="I186" s="10">
        <v>0.05</v>
      </c>
      <c r="J186" s="6" t="s">
        <v>40</v>
      </c>
      <c r="K186" s="6" t="s">
        <v>42</v>
      </c>
      <c r="L186" s="12">
        <v>0</v>
      </c>
      <c r="M186" s="6" t="s">
        <v>428</v>
      </c>
      <c r="N186" s="3">
        <v>23.42</v>
      </c>
      <c r="O186" s="8">
        <v>45269</v>
      </c>
      <c r="P186" s="8">
        <v>45278</v>
      </c>
      <c r="Q186" s="6" t="s">
        <v>447</v>
      </c>
      <c r="R186" s="3">
        <f t="shared" si="5"/>
        <v>7618.11</v>
      </c>
    </row>
    <row r="187" spans="1:18" x14ac:dyDescent="0.3">
      <c r="A187" t="s">
        <v>231</v>
      </c>
      <c r="B187" s="1">
        <v>45104</v>
      </c>
      <c r="C187" t="s">
        <v>19</v>
      </c>
      <c r="D187" t="s">
        <v>24</v>
      </c>
      <c r="E187">
        <v>15</v>
      </c>
      <c r="F187" s="3">
        <v>478.41</v>
      </c>
      <c r="G187" s="6" t="s">
        <v>29</v>
      </c>
      <c r="H187" s="6" t="s">
        <v>34</v>
      </c>
      <c r="I187" s="10">
        <v>0.1</v>
      </c>
      <c r="J187" s="6" t="s">
        <v>38</v>
      </c>
      <c r="K187" s="6" t="s">
        <v>44</v>
      </c>
      <c r="L187" s="12">
        <v>0</v>
      </c>
      <c r="M187" s="6" t="s">
        <v>429</v>
      </c>
      <c r="N187" s="3">
        <v>35.630000000000003</v>
      </c>
      <c r="O187" s="8">
        <v>45104</v>
      </c>
      <c r="P187" s="8">
        <v>45107</v>
      </c>
      <c r="Q187" s="6" t="s">
        <v>445</v>
      </c>
      <c r="R187" s="3">
        <f t="shared" si="5"/>
        <v>7211.68</v>
      </c>
    </row>
    <row r="188" spans="1:18" x14ac:dyDescent="0.3">
      <c r="A188" t="s">
        <v>232</v>
      </c>
      <c r="B188" s="1">
        <v>45121</v>
      </c>
      <c r="C188" t="s">
        <v>18</v>
      </c>
      <c r="D188" t="s">
        <v>25</v>
      </c>
      <c r="E188">
        <v>9</v>
      </c>
      <c r="F188" s="3">
        <v>501.74</v>
      </c>
      <c r="G188" s="6" t="s">
        <v>32</v>
      </c>
      <c r="H188" s="6" t="s">
        <v>34</v>
      </c>
      <c r="I188" s="10">
        <v>0</v>
      </c>
      <c r="J188" s="6" t="s">
        <v>40</v>
      </c>
      <c r="K188" s="6" t="s">
        <v>41</v>
      </c>
      <c r="L188" s="12">
        <v>1</v>
      </c>
      <c r="M188" s="6" t="s">
        <v>430</v>
      </c>
      <c r="N188" s="3">
        <v>39.74</v>
      </c>
      <c r="O188" s="8">
        <v>45121</v>
      </c>
      <c r="P188" s="8">
        <v>45124</v>
      </c>
      <c r="Q188" s="6" t="s">
        <v>444</v>
      </c>
      <c r="R188" s="3">
        <f t="shared" si="5"/>
        <v>4555.3999999999996</v>
      </c>
    </row>
    <row r="189" spans="1:18" x14ac:dyDescent="0.3">
      <c r="A189" t="s">
        <v>233</v>
      </c>
      <c r="B189" s="1">
        <v>44965</v>
      </c>
      <c r="C189" t="s">
        <v>18</v>
      </c>
      <c r="D189" t="s">
        <v>27</v>
      </c>
      <c r="E189">
        <v>7</v>
      </c>
      <c r="F189" s="3">
        <v>247.53</v>
      </c>
      <c r="G189" s="6" t="s">
        <v>31</v>
      </c>
      <c r="H189" s="6" t="s">
        <v>33</v>
      </c>
      <c r="I189" s="10">
        <v>0.15</v>
      </c>
      <c r="J189" s="6" t="s">
        <v>36</v>
      </c>
      <c r="K189" s="6" t="s">
        <v>42</v>
      </c>
      <c r="L189" s="12">
        <v>0</v>
      </c>
      <c r="M189" s="6" t="s">
        <v>431</v>
      </c>
      <c r="N189" s="3">
        <v>13.63</v>
      </c>
      <c r="O189" s="8">
        <v>44965</v>
      </c>
      <c r="P189" s="8">
        <v>44973</v>
      </c>
      <c r="Q189" s="6" t="s">
        <v>444</v>
      </c>
      <c r="R189" s="3">
        <f t="shared" si="5"/>
        <v>1746.19</v>
      </c>
    </row>
    <row r="190" spans="1:18" x14ac:dyDescent="0.3">
      <c r="A190" t="s">
        <v>234</v>
      </c>
      <c r="B190" s="1">
        <v>45471</v>
      </c>
      <c r="C190" t="s">
        <v>21</v>
      </c>
      <c r="D190" t="s">
        <v>27</v>
      </c>
      <c r="E190">
        <v>6</v>
      </c>
      <c r="F190" s="3">
        <v>176.51</v>
      </c>
      <c r="G190" s="6" t="s">
        <v>31</v>
      </c>
      <c r="H190" s="6" t="s">
        <v>33</v>
      </c>
      <c r="I190" s="10">
        <v>0.15</v>
      </c>
      <c r="J190" s="6" t="s">
        <v>38</v>
      </c>
      <c r="K190" s="6" t="s">
        <v>44</v>
      </c>
      <c r="L190" s="12">
        <v>1</v>
      </c>
      <c r="M190" s="6" t="s">
        <v>432</v>
      </c>
      <c r="N190" s="3">
        <v>31.02</v>
      </c>
      <c r="O190" s="8">
        <v>45471</v>
      </c>
      <c r="P190" s="8">
        <v>45480</v>
      </c>
      <c r="Q190" s="6" t="s">
        <v>447</v>
      </c>
      <c r="R190" s="3">
        <f t="shared" si="5"/>
        <v>1089.9299999999998</v>
      </c>
    </row>
    <row r="191" spans="1:18" x14ac:dyDescent="0.3">
      <c r="A191" t="s">
        <v>235</v>
      </c>
      <c r="B191" s="1">
        <v>45397</v>
      </c>
      <c r="C191" t="s">
        <v>21</v>
      </c>
      <c r="D191" t="s">
        <v>22</v>
      </c>
      <c r="E191">
        <v>2</v>
      </c>
      <c r="F191" s="3">
        <v>143.43</v>
      </c>
      <c r="G191" s="6" t="s">
        <v>32</v>
      </c>
      <c r="H191" s="6" t="s">
        <v>33</v>
      </c>
      <c r="I191" s="10">
        <v>0</v>
      </c>
      <c r="J191" s="6" t="s">
        <v>40</v>
      </c>
      <c r="K191" s="6" t="s">
        <v>43</v>
      </c>
      <c r="L191" s="12">
        <v>0</v>
      </c>
      <c r="M191" s="6" t="s">
        <v>433</v>
      </c>
      <c r="N191" s="3">
        <v>36.94</v>
      </c>
      <c r="O191" s="8">
        <v>45397</v>
      </c>
      <c r="P191" s="8">
        <v>45404</v>
      </c>
      <c r="Q191" s="6" t="s">
        <v>447</v>
      </c>
      <c r="R191" s="3">
        <f t="shared" si="5"/>
        <v>323.8</v>
      </c>
    </row>
    <row r="192" spans="1:18" x14ac:dyDescent="0.3">
      <c r="A192" t="s">
        <v>236</v>
      </c>
      <c r="B192" s="1">
        <v>45257</v>
      </c>
      <c r="C192" t="s">
        <v>17</v>
      </c>
      <c r="D192" t="s">
        <v>26</v>
      </c>
      <c r="E192">
        <v>12</v>
      </c>
      <c r="F192" s="3">
        <v>538.5</v>
      </c>
      <c r="G192" s="6" t="s">
        <v>31</v>
      </c>
      <c r="H192" s="6" t="s">
        <v>33</v>
      </c>
      <c r="I192" s="10">
        <v>0.05</v>
      </c>
      <c r="J192" s="6" t="s">
        <v>36</v>
      </c>
      <c r="K192" s="6" t="s">
        <v>45</v>
      </c>
      <c r="L192" s="12">
        <v>0</v>
      </c>
      <c r="M192" s="6" t="s">
        <v>434</v>
      </c>
      <c r="N192" s="3">
        <v>18.54</v>
      </c>
      <c r="O192" s="8">
        <v>45257</v>
      </c>
      <c r="P192" s="8">
        <v>45266</v>
      </c>
      <c r="Q192" s="6" t="s">
        <v>443</v>
      </c>
      <c r="R192" s="3">
        <f t="shared" si="5"/>
        <v>6480.49</v>
      </c>
    </row>
    <row r="193" spans="1:18" x14ac:dyDescent="0.3">
      <c r="A193" t="s">
        <v>237</v>
      </c>
      <c r="B193" s="1">
        <v>45743</v>
      </c>
      <c r="C193" t="s">
        <v>17</v>
      </c>
      <c r="D193" t="s">
        <v>28</v>
      </c>
      <c r="E193">
        <v>5</v>
      </c>
      <c r="F193" s="3">
        <v>87.17</v>
      </c>
      <c r="G193" s="6" t="s">
        <v>32</v>
      </c>
      <c r="H193" s="6" t="s">
        <v>33</v>
      </c>
      <c r="I193" s="10">
        <v>0</v>
      </c>
      <c r="J193" s="6" t="s">
        <v>38</v>
      </c>
      <c r="K193" s="6" t="s">
        <v>44</v>
      </c>
      <c r="L193" s="12">
        <v>0</v>
      </c>
      <c r="M193" s="6" t="s">
        <v>435</v>
      </c>
      <c r="N193" s="3">
        <v>13.01</v>
      </c>
      <c r="O193" s="8">
        <v>45743</v>
      </c>
      <c r="P193" s="8">
        <v>45745</v>
      </c>
      <c r="Q193" s="6" t="s">
        <v>443</v>
      </c>
      <c r="R193" s="3">
        <f t="shared" si="5"/>
        <v>448.86</v>
      </c>
    </row>
    <row r="194" spans="1:18" x14ac:dyDescent="0.3">
      <c r="A194" t="s">
        <v>238</v>
      </c>
      <c r="B194" s="1">
        <v>45144</v>
      </c>
      <c r="C194" t="s">
        <v>18</v>
      </c>
      <c r="D194" t="s">
        <v>26</v>
      </c>
      <c r="E194">
        <v>7</v>
      </c>
      <c r="F194" s="3">
        <v>498.32</v>
      </c>
      <c r="G194" s="6" t="s">
        <v>29</v>
      </c>
      <c r="H194" s="6" t="s">
        <v>33</v>
      </c>
      <c r="I194" s="10">
        <v>0.1</v>
      </c>
      <c r="J194" s="6" t="s">
        <v>36</v>
      </c>
      <c r="K194" s="6" t="s">
        <v>43</v>
      </c>
      <c r="L194" s="12">
        <v>1</v>
      </c>
      <c r="M194" s="6" t="s">
        <v>436</v>
      </c>
      <c r="N194" s="3">
        <v>27.65</v>
      </c>
      <c r="O194" s="8">
        <v>45144</v>
      </c>
      <c r="P194" s="8">
        <v>45148</v>
      </c>
      <c r="Q194" s="6" t="s">
        <v>444</v>
      </c>
      <c r="R194" s="3">
        <f t="shared" ref="R194:R200" si="6">(E194*F194)-I194+N194</f>
        <v>3515.79</v>
      </c>
    </row>
    <row r="195" spans="1:18" x14ac:dyDescent="0.3">
      <c r="A195" t="s">
        <v>239</v>
      </c>
      <c r="B195" s="1">
        <v>45639</v>
      </c>
      <c r="C195" t="s">
        <v>18</v>
      </c>
      <c r="D195" t="s">
        <v>28</v>
      </c>
      <c r="E195">
        <v>15</v>
      </c>
      <c r="F195" s="3">
        <v>57.14</v>
      </c>
      <c r="G195" s="6" t="s">
        <v>29</v>
      </c>
      <c r="H195" s="6" t="s">
        <v>33</v>
      </c>
      <c r="I195" s="10">
        <v>0.15</v>
      </c>
      <c r="J195" s="6" t="s">
        <v>38</v>
      </c>
      <c r="K195" s="6" t="s">
        <v>44</v>
      </c>
      <c r="L195" s="12">
        <v>0</v>
      </c>
      <c r="M195" s="6" t="s">
        <v>437</v>
      </c>
      <c r="N195" s="3">
        <v>7.02</v>
      </c>
      <c r="O195" s="8">
        <v>45639</v>
      </c>
      <c r="P195" s="8">
        <v>45648</v>
      </c>
      <c r="Q195" s="6" t="s">
        <v>444</v>
      </c>
      <c r="R195" s="3">
        <f t="shared" si="6"/>
        <v>863.97</v>
      </c>
    </row>
    <row r="196" spans="1:18" x14ac:dyDescent="0.3">
      <c r="A196" t="s">
        <v>240</v>
      </c>
      <c r="B196" s="1">
        <v>45674</v>
      </c>
      <c r="C196" t="s">
        <v>20</v>
      </c>
      <c r="D196" t="s">
        <v>27</v>
      </c>
      <c r="E196">
        <v>18</v>
      </c>
      <c r="F196" s="3">
        <v>124.18</v>
      </c>
      <c r="G196" s="6" t="s">
        <v>29</v>
      </c>
      <c r="H196" s="6" t="s">
        <v>33</v>
      </c>
      <c r="I196" s="10">
        <v>0.15</v>
      </c>
      <c r="J196" s="6" t="s">
        <v>38</v>
      </c>
      <c r="K196" s="6" t="s">
        <v>44</v>
      </c>
      <c r="L196" s="12">
        <v>0</v>
      </c>
      <c r="M196" s="6" t="s">
        <v>438</v>
      </c>
      <c r="N196" s="3">
        <v>45.77</v>
      </c>
      <c r="O196" s="8">
        <v>45674</v>
      </c>
      <c r="P196" s="8">
        <v>45683</v>
      </c>
      <c r="Q196" s="6" t="s">
        <v>446</v>
      </c>
      <c r="R196" s="3">
        <f t="shared" si="6"/>
        <v>2280.86</v>
      </c>
    </row>
    <row r="197" spans="1:18" x14ac:dyDescent="0.3">
      <c r="A197" t="s">
        <v>241</v>
      </c>
      <c r="B197" s="1">
        <v>45256</v>
      </c>
      <c r="C197" t="s">
        <v>21</v>
      </c>
      <c r="D197" t="s">
        <v>24</v>
      </c>
      <c r="E197">
        <v>12</v>
      </c>
      <c r="F197" s="3">
        <v>107.45</v>
      </c>
      <c r="G197" s="6" t="s">
        <v>31</v>
      </c>
      <c r="H197" s="6" t="s">
        <v>34</v>
      </c>
      <c r="I197" s="10">
        <v>0.1</v>
      </c>
      <c r="J197" s="6" t="s">
        <v>40</v>
      </c>
      <c r="K197" s="6" t="s">
        <v>41</v>
      </c>
      <c r="L197" s="12">
        <v>0</v>
      </c>
      <c r="M197" s="6" t="s">
        <v>439</v>
      </c>
      <c r="N197" s="3">
        <v>18.170000000000002</v>
      </c>
      <c r="O197" s="8">
        <v>45256</v>
      </c>
      <c r="P197" s="8">
        <v>45262</v>
      </c>
      <c r="Q197" s="6" t="s">
        <v>447</v>
      </c>
      <c r="R197" s="3">
        <f t="shared" si="6"/>
        <v>1307.4700000000003</v>
      </c>
    </row>
    <row r="198" spans="1:18" x14ac:dyDescent="0.3">
      <c r="A198" t="s">
        <v>242</v>
      </c>
      <c r="B198" s="1">
        <v>44971</v>
      </c>
      <c r="C198" t="s">
        <v>17</v>
      </c>
      <c r="D198" t="s">
        <v>25</v>
      </c>
      <c r="E198">
        <v>8</v>
      </c>
      <c r="F198" s="3">
        <v>411.26</v>
      </c>
      <c r="G198" s="6" t="s">
        <v>30</v>
      </c>
      <c r="H198" s="6" t="s">
        <v>34</v>
      </c>
      <c r="I198" s="10">
        <v>0.1</v>
      </c>
      <c r="J198" s="6" t="s">
        <v>37</v>
      </c>
      <c r="K198" s="6" t="s">
        <v>42</v>
      </c>
      <c r="L198" s="12">
        <v>0</v>
      </c>
      <c r="M198" s="6" t="s">
        <v>440</v>
      </c>
      <c r="N198" s="3">
        <v>28.57</v>
      </c>
      <c r="O198" s="8">
        <v>44971</v>
      </c>
      <c r="P198" s="8">
        <v>44975</v>
      </c>
      <c r="Q198" s="6" t="s">
        <v>443</v>
      </c>
      <c r="R198" s="3">
        <f t="shared" si="6"/>
        <v>3318.55</v>
      </c>
    </row>
    <row r="199" spans="1:18" x14ac:dyDescent="0.3">
      <c r="A199" t="s">
        <v>243</v>
      </c>
      <c r="B199" s="1">
        <v>45690</v>
      </c>
      <c r="C199" t="s">
        <v>20</v>
      </c>
      <c r="D199" t="s">
        <v>28</v>
      </c>
      <c r="E199">
        <v>7</v>
      </c>
      <c r="F199" s="3">
        <v>248.1</v>
      </c>
      <c r="G199" s="6" t="s">
        <v>31</v>
      </c>
      <c r="H199" s="6" t="s">
        <v>34</v>
      </c>
      <c r="I199" s="10">
        <v>0</v>
      </c>
      <c r="J199" s="6" t="s">
        <v>39</v>
      </c>
      <c r="K199" s="6" t="s">
        <v>45</v>
      </c>
      <c r="L199" s="12">
        <v>0</v>
      </c>
      <c r="M199" s="6" t="s">
        <v>441</v>
      </c>
      <c r="N199" s="3">
        <v>31.8</v>
      </c>
      <c r="O199" s="8">
        <v>45690</v>
      </c>
      <c r="P199" s="8">
        <v>45694</v>
      </c>
      <c r="Q199" s="6" t="s">
        <v>446</v>
      </c>
      <c r="R199" s="3">
        <f t="shared" si="6"/>
        <v>1768.5</v>
      </c>
    </row>
    <row r="200" spans="1:18" x14ac:dyDescent="0.3">
      <c r="A200" t="s">
        <v>244</v>
      </c>
      <c r="B200" s="1">
        <v>45027</v>
      </c>
      <c r="C200" t="s">
        <v>21</v>
      </c>
      <c r="D200" t="s">
        <v>28</v>
      </c>
      <c r="E200">
        <v>3</v>
      </c>
      <c r="F200" s="3">
        <v>486.52</v>
      </c>
      <c r="G200" s="6" t="s">
        <v>29</v>
      </c>
      <c r="H200" s="6" t="s">
        <v>33</v>
      </c>
      <c r="I200" s="10">
        <v>0.1</v>
      </c>
      <c r="J200" s="6" t="s">
        <v>38</v>
      </c>
      <c r="K200" s="6" t="s">
        <v>42</v>
      </c>
      <c r="L200" s="12">
        <v>0</v>
      </c>
      <c r="M200" s="6" t="s">
        <v>442</v>
      </c>
      <c r="N200" s="3">
        <v>16.5</v>
      </c>
      <c r="O200" s="8">
        <v>45027</v>
      </c>
      <c r="P200" s="8">
        <v>45036</v>
      </c>
      <c r="Q200" s="6" t="s">
        <v>447</v>
      </c>
      <c r="R200" s="3">
        <f t="shared" si="6"/>
        <v>1475.96</v>
      </c>
    </row>
    <row r="201" spans="1:18" x14ac:dyDescent="0.3">
      <c r="B201" s="1"/>
    </row>
    <row r="202" spans="1:18" x14ac:dyDescent="0.3">
      <c r="F202"/>
      <c r="G202"/>
      <c r="H202"/>
      <c r="I202"/>
      <c r="J202"/>
      <c r="K202"/>
      <c r="L202"/>
      <c r="M202"/>
      <c r="N202"/>
      <c r="O202"/>
      <c r="P202"/>
      <c r="Q202"/>
    </row>
    <row r="203" spans="1:18" x14ac:dyDescent="0.3">
      <c r="F203"/>
      <c r="G203"/>
      <c r="H203"/>
      <c r="I203"/>
      <c r="J203"/>
      <c r="K203"/>
      <c r="L203"/>
      <c r="M203"/>
      <c r="N203"/>
      <c r="O203"/>
      <c r="P203"/>
      <c r="Q203"/>
    </row>
    <row r="204" spans="1:18" x14ac:dyDescent="0.3">
      <c r="F204"/>
      <c r="G204"/>
      <c r="H204"/>
      <c r="I204"/>
      <c r="J204"/>
      <c r="K204"/>
      <c r="L204"/>
      <c r="M204"/>
      <c r="N204"/>
      <c r="O204"/>
      <c r="P204"/>
      <c r="Q204"/>
    </row>
    <row r="205" spans="1:18" x14ac:dyDescent="0.3">
      <c r="F205"/>
      <c r="G205"/>
      <c r="H205"/>
      <c r="I205"/>
      <c r="J205"/>
      <c r="K205"/>
      <c r="L205"/>
      <c r="M205"/>
      <c r="N205"/>
      <c r="O205"/>
      <c r="P205"/>
      <c r="Q205"/>
    </row>
    <row r="206" spans="1:18" x14ac:dyDescent="0.3">
      <c r="F206"/>
      <c r="G206"/>
      <c r="H206"/>
      <c r="I206"/>
      <c r="J206"/>
      <c r="K206"/>
      <c r="L206"/>
      <c r="M206"/>
      <c r="N206"/>
      <c r="O206"/>
      <c r="P206"/>
      <c r="Q206"/>
    </row>
    <row r="207" spans="1:18" x14ac:dyDescent="0.3">
      <c r="F207"/>
      <c r="G207"/>
      <c r="H207"/>
      <c r="I207"/>
      <c r="J207"/>
      <c r="K207"/>
      <c r="L207"/>
      <c r="M207"/>
      <c r="N207"/>
      <c r="O207"/>
      <c r="P207"/>
      <c r="Q207"/>
    </row>
    <row r="208" spans="1:18" x14ac:dyDescent="0.3">
      <c r="F208"/>
      <c r="G208"/>
      <c r="H208"/>
      <c r="I208"/>
      <c r="J208"/>
      <c r="K208"/>
      <c r="L208"/>
      <c r="M208"/>
      <c r="N208"/>
      <c r="O208"/>
      <c r="P208"/>
      <c r="Q208"/>
    </row>
    <row r="209" spans="6:17" x14ac:dyDescent="0.3">
      <c r="F209"/>
      <c r="G209"/>
      <c r="H209"/>
      <c r="I209"/>
      <c r="J209"/>
      <c r="K209"/>
      <c r="L209"/>
      <c r="M209"/>
      <c r="N209"/>
      <c r="O209"/>
      <c r="P209"/>
      <c r="Q209"/>
    </row>
    <row r="210" spans="6:17" x14ac:dyDescent="0.3">
      <c r="F210"/>
      <c r="G210"/>
      <c r="H210"/>
      <c r="I210"/>
      <c r="J210"/>
      <c r="K210"/>
      <c r="L210"/>
      <c r="M210"/>
      <c r="N210"/>
      <c r="O210"/>
      <c r="P210"/>
      <c r="Q210"/>
    </row>
    <row r="211" spans="6:17" x14ac:dyDescent="0.3">
      <c r="F211"/>
      <c r="G211"/>
      <c r="H211"/>
      <c r="I211"/>
      <c r="J211"/>
      <c r="K211"/>
      <c r="L211"/>
      <c r="M211"/>
      <c r="N211"/>
      <c r="O211"/>
      <c r="P211"/>
      <c r="Q211"/>
    </row>
    <row r="212" spans="6:17" x14ac:dyDescent="0.3">
      <c r="F212"/>
      <c r="G212"/>
      <c r="H212"/>
      <c r="I212"/>
      <c r="J212"/>
      <c r="K212"/>
      <c r="L212"/>
      <c r="M212"/>
      <c r="N212"/>
      <c r="O212"/>
      <c r="P212"/>
      <c r="Q212"/>
    </row>
    <row r="213" spans="6:17" x14ac:dyDescent="0.3">
      <c r="F213"/>
      <c r="G213"/>
      <c r="H213"/>
      <c r="I213"/>
      <c r="J213"/>
      <c r="K213"/>
      <c r="L213"/>
      <c r="M213"/>
      <c r="N213"/>
      <c r="O213"/>
      <c r="P213"/>
      <c r="Q213"/>
    </row>
    <row r="214" spans="6:17" x14ac:dyDescent="0.3">
      <c r="F214"/>
      <c r="G214"/>
      <c r="H214"/>
      <c r="I214"/>
      <c r="J214"/>
      <c r="K214"/>
      <c r="L214"/>
      <c r="M214"/>
      <c r="N214"/>
      <c r="O214"/>
      <c r="P214"/>
      <c r="Q214"/>
    </row>
    <row r="215" spans="6:17" x14ac:dyDescent="0.3">
      <c r="F215"/>
      <c r="G215"/>
      <c r="H215"/>
      <c r="I215"/>
      <c r="J215"/>
      <c r="K215"/>
      <c r="L215"/>
      <c r="M215"/>
      <c r="N215"/>
      <c r="O215"/>
      <c r="P215"/>
      <c r="Q215"/>
    </row>
    <row r="216" spans="6:17" x14ac:dyDescent="0.3">
      <c r="F216"/>
      <c r="G216"/>
      <c r="H216"/>
      <c r="I216"/>
      <c r="J216"/>
      <c r="K216"/>
      <c r="L216"/>
      <c r="M216"/>
      <c r="N216"/>
      <c r="O216"/>
      <c r="P216"/>
      <c r="Q216"/>
    </row>
    <row r="217" spans="6:17" x14ac:dyDescent="0.3">
      <c r="F217"/>
      <c r="G217"/>
      <c r="H217"/>
      <c r="I217"/>
      <c r="J217"/>
      <c r="K217"/>
      <c r="L217"/>
      <c r="M217"/>
      <c r="N217"/>
      <c r="O217"/>
      <c r="P217"/>
      <c r="Q217"/>
    </row>
    <row r="218" spans="6:17" x14ac:dyDescent="0.3">
      <c r="F218"/>
      <c r="G218"/>
      <c r="H218"/>
      <c r="I218"/>
      <c r="J218"/>
      <c r="K218"/>
      <c r="L218"/>
      <c r="M218"/>
      <c r="N218"/>
      <c r="O218"/>
      <c r="P218"/>
      <c r="Q218"/>
    </row>
    <row r="219" spans="6:17" x14ac:dyDescent="0.3">
      <c r="F219"/>
      <c r="G219"/>
      <c r="H219"/>
      <c r="I219"/>
      <c r="J219"/>
      <c r="K219"/>
      <c r="L219"/>
      <c r="M219"/>
      <c r="N219"/>
      <c r="O219"/>
      <c r="P219"/>
      <c r="Q219"/>
    </row>
    <row r="220" spans="6:17" x14ac:dyDescent="0.3">
      <c r="F220"/>
      <c r="G220"/>
      <c r="H220"/>
      <c r="I220"/>
      <c r="J220"/>
      <c r="K220"/>
      <c r="L220"/>
      <c r="M220"/>
      <c r="N220"/>
      <c r="O220"/>
      <c r="P220"/>
      <c r="Q220"/>
    </row>
    <row r="221" spans="6:17" x14ac:dyDescent="0.3">
      <c r="F221"/>
      <c r="G221"/>
      <c r="H221"/>
      <c r="I221"/>
      <c r="J221"/>
      <c r="K221"/>
      <c r="L221"/>
      <c r="M221"/>
      <c r="N221"/>
      <c r="O221"/>
      <c r="P221"/>
      <c r="Q221"/>
    </row>
    <row r="222" spans="6:17" x14ac:dyDescent="0.3">
      <c r="F222"/>
      <c r="G222"/>
      <c r="H222"/>
      <c r="I222"/>
      <c r="J222"/>
      <c r="K222"/>
      <c r="L222"/>
      <c r="M222"/>
      <c r="N222"/>
      <c r="O222"/>
      <c r="P222"/>
      <c r="Q222"/>
    </row>
    <row r="223" spans="6:17" x14ac:dyDescent="0.3">
      <c r="F223"/>
      <c r="G223"/>
      <c r="H223"/>
      <c r="I223"/>
      <c r="J223"/>
      <c r="K223"/>
      <c r="L223"/>
      <c r="M223"/>
      <c r="N223"/>
      <c r="O223"/>
      <c r="P223"/>
      <c r="Q223"/>
    </row>
    <row r="224" spans="6:17" x14ac:dyDescent="0.3">
      <c r="F224"/>
      <c r="G224"/>
      <c r="H224"/>
      <c r="I224"/>
      <c r="J224"/>
      <c r="K224"/>
      <c r="L224"/>
      <c r="M224"/>
      <c r="N224"/>
      <c r="O224"/>
      <c r="P224"/>
      <c r="Q224"/>
    </row>
    <row r="225" spans="6:17" x14ac:dyDescent="0.3">
      <c r="F225"/>
      <c r="G225"/>
      <c r="H225"/>
      <c r="I225"/>
      <c r="J225"/>
      <c r="K225"/>
      <c r="L225"/>
      <c r="M225"/>
      <c r="N225"/>
      <c r="O225"/>
      <c r="P225"/>
      <c r="Q225"/>
    </row>
    <row r="226" spans="6:17" x14ac:dyDescent="0.3">
      <c r="F226"/>
      <c r="G226"/>
      <c r="H226"/>
      <c r="I226"/>
      <c r="J226"/>
      <c r="K226"/>
      <c r="L226"/>
      <c r="M226"/>
      <c r="N226"/>
      <c r="O226"/>
      <c r="P226"/>
      <c r="Q226"/>
    </row>
    <row r="227" spans="6:17" x14ac:dyDescent="0.3">
      <c r="F227"/>
      <c r="G227"/>
      <c r="H227"/>
      <c r="I227"/>
      <c r="J227"/>
      <c r="K227"/>
      <c r="L227"/>
      <c r="M227"/>
      <c r="N227"/>
      <c r="O227"/>
      <c r="P227"/>
      <c r="Q227"/>
    </row>
    <row r="228" spans="6:17" x14ac:dyDescent="0.3">
      <c r="F228"/>
      <c r="G228"/>
      <c r="H228"/>
      <c r="I228"/>
      <c r="J228"/>
      <c r="K228"/>
      <c r="L228"/>
      <c r="M228"/>
      <c r="N228"/>
      <c r="O228"/>
      <c r="P228"/>
      <c r="Q228"/>
    </row>
    <row r="229" spans="6:17" x14ac:dyDescent="0.3">
      <c r="F229"/>
      <c r="G229"/>
      <c r="H229"/>
      <c r="I229"/>
      <c r="J229"/>
      <c r="K229"/>
      <c r="L229"/>
      <c r="M229"/>
      <c r="N229"/>
      <c r="O229"/>
      <c r="P229"/>
      <c r="Q229"/>
    </row>
    <row r="230" spans="6:17" x14ac:dyDescent="0.3">
      <c r="F230"/>
      <c r="G230"/>
      <c r="H230"/>
      <c r="I230"/>
      <c r="J230"/>
      <c r="K230"/>
      <c r="L230"/>
      <c r="M230"/>
      <c r="N230"/>
      <c r="O230"/>
      <c r="P230"/>
      <c r="Q230"/>
    </row>
    <row r="231" spans="6:17" x14ac:dyDescent="0.3">
      <c r="F231"/>
      <c r="G231"/>
      <c r="H231"/>
      <c r="I231"/>
      <c r="J231"/>
      <c r="K231"/>
      <c r="L231"/>
      <c r="M231"/>
      <c r="N231"/>
      <c r="O231"/>
      <c r="P231"/>
      <c r="Q231"/>
    </row>
    <row r="232" spans="6:17" x14ac:dyDescent="0.3">
      <c r="F232"/>
      <c r="G232"/>
      <c r="H232"/>
      <c r="I232"/>
      <c r="J232"/>
      <c r="K232"/>
      <c r="L232"/>
      <c r="M232"/>
      <c r="N232"/>
      <c r="O232"/>
      <c r="P232"/>
      <c r="Q232"/>
    </row>
    <row r="233" spans="6:17" x14ac:dyDescent="0.3">
      <c r="F233"/>
      <c r="G233"/>
      <c r="H233"/>
      <c r="I233"/>
      <c r="J233"/>
      <c r="K233"/>
      <c r="L233"/>
      <c r="M233"/>
      <c r="N233"/>
      <c r="O233"/>
      <c r="P233"/>
      <c r="Q233"/>
    </row>
    <row r="234" spans="6:17" x14ac:dyDescent="0.3">
      <c r="F234"/>
      <c r="G234"/>
      <c r="H234"/>
      <c r="I234"/>
      <c r="J234"/>
      <c r="K234"/>
      <c r="L234"/>
      <c r="M234"/>
      <c r="N234"/>
      <c r="O234"/>
      <c r="P234"/>
      <c r="Q234"/>
    </row>
    <row r="235" spans="6:17" x14ac:dyDescent="0.3">
      <c r="F235"/>
      <c r="G235"/>
      <c r="H235"/>
      <c r="I235"/>
      <c r="J235"/>
      <c r="K235"/>
      <c r="L235"/>
      <c r="M235"/>
      <c r="N235"/>
      <c r="O235"/>
      <c r="P235"/>
      <c r="Q235"/>
    </row>
    <row r="236" spans="6:17" x14ac:dyDescent="0.3">
      <c r="F236"/>
      <c r="G236"/>
      <c r="H236"/>
      <c r="I236"/>
      <c r="J236"/>
      <c r="K236"/>
      <c r="L236"/>
      <c r="M236"/>
      <c r="N236"/>
      <c r="O236"/>
      <c r="P236"/>
      <c r="Q236"/>
    </row>
    <row r="237" spans="6:17" x14ac:dyDescent="0.3">
      <c r="F237"/>
      <c r="G237"/>
      <c r="H237"/>
      <c r="I237"/>
      <c r="J237"/>
      <c r="K237"/>
      <c r="L237"/>
      <c r="M237"/>
      <c r="N237"/>
      <c r="O237"/>
      <c r="P237"/>
      <c r="Q237"/>
    </row>
    <row r="238" spans="6:17" x14ac:dyDescent="0.3">
      <c r="F238"/>
      <c r="G238"/>
      <c r="H238"/>
      <c r="I238"/>
      <c r="J238"/>
      <c r="K238"/>
      <c r="L238"/>
      <c r="M238"/>
      <c r="N238"/>
      <c r="O238"/>
      <c r="P238"/>
      <c r="Q238"/>
    </row>
    <row r="239" spans="6:17" x14ac:dyDescent="0.3">
      <c r="F239"/>
      <c r="G239"/>
      <c r="H239"/>
      <c r="I239"/>
      <c r="J239"/>
      <c r="K239"/>
      <c r="L239"/>
      <c r="M239"/>
      <c r="N239"/>
      <c r="O239"/>
      <c r="P239"/>
      <c r="Q239"/>
    </row>
    <row r="240" spans="6:17" x14ac:dyDescent="0.3">
      <c r="F240"/>
      <c r="G240"/>
      <c r="H240"/>
      <c r="I240"/>
      <c r="J240"/>
      <c r="K240"/>
      <c r="L240"/>
      <c r="M240"/>
      <c r="N240"/>
      <c r="O240"/>
      <c r="P240"/>
      <c r="Q240"/>
    </row>
    <row r="241" spans="6:17" x14ac:dyDescent="0.3">
      <c r="F241"/>
      <c r="G241"/>
      <c r="H241"/>
      <c r="I241"/>
      <c r="J241"/>
      <c r="K241"/>
      <c r="L241"/>
      <c r="M241"/>
      <c r="N241"/>
      <c r="O241"/>
      <c r="P241"/>
      <c r="Q241"/>
    </row>
    <row r="242" spans="6:17" x14ac:dyDescent="0.3">
      <c r="F242"/>
      <c r="G242"/>
      <c r="H242"/>
      <c r="I242"/>
      <c r="J242"/>
      <c r="K242"/>
      <c r="L242"/>
      <c r="M242"/>
      <c r="N242"/>
      <c r="O242"/>
      <c r="P242"/>
      <c r="Q242"/>
    </row>
    <row r="243" spans="6:17" x14ac:dyDescent="0.3">
      <c r="F243"/>
      <c r="G243"/>
      <c r="H243"/>
      <c r="I243"/>
      <c r="J243"/>
      <c r="K243"/>
      <c r="L243"/>
      <c r="M243"/>
      <c r="N243"/>
      <c r="O243"/>
      <c r="P243"/>
      <c r="Q243"/>
    </row>
    <row r="244" spans="6:17" x14ac:dyDescent="0.3">
      <c r="F244"/>
      <c r="G244"/>
      <c r="H244"/>
      <c r="I244"/>
      <c r="J244"/>
      <c r="K244"/>
      <c r="L244"/>
      <c r="M244"/>
      <c r="N244"/>
      <c r="O244"/>
      <c r="P244"/>
      <c r="Q244"/>
    </row>
    <row r="245" spans="6:17" x14ac:dyDescent="0.3">
      <c r="F245"/>
      <c r="G245"/>
      <c r="H245"/>
      <c r="I245"/>
      <c r="J245"/>
      <c r="K245"/>
      <c r="L245"/>
      <c r="M245"/>
      <c r="N245"/>
      <c r="O245"/>
      <c r="P245"/>
      <c r="Q245"/>
    </row>
    <row r="246" spans="6:17" x14ac:dyDescent="0.3">
      <c r="F246"/>
      <c r="G246"/>
      <c r="H246"/>
      <c r="I246"/>
      <c r="J246"/>
      <c r="K246"/>
      <c r="L246"/>
      <c r="M246"/>
      <c r="N246"/>
      <c r="O246"/>
      <c r="P246"/>
      <c r="Q246"/>
    </row>
    <row r="247" spans="6:17" x14ac:dyDescent="0.3">
      <c r="F247"/>
      <c r="G247"/>
      <c r="H247"/>
      <c r="I247"/>
      <c r="J247"/>
      <c r="K247"/>
      <c r="L247"/>
      <c r="M247"/>
      <c r="N247"/>
      <c r="O247"/>
      <c r="P247"/>
      <c r="Q247"/>
    </row>
    <row r="248" spans="6:17" x14ac:dyDescent="0.3">
      <c r="F248"/>
      <c r="G248"/>
      <c r="H248"/>
      <c r="I248"/>
      <c r="J248"/>
      <c r="K248"/>
      <c r="L248"/>
      <c r="M248"/>
      <c r="N248"/>
      <c r="O248"/>
      <c r="P248"/>
      <c r="Q248"/>
    </row>
    <row r="249" spans="6:17" x14ac:dyDescent="0.3">
      <c r="F249"/>
      <c r="G249"/>
      <c r="H249"/>
      <c r="I249"/>
      <c r="J249"/>
      <c r="K249"/>
      <c r="L249"/>
      <c r="M249"/>
      <c r="N249"/>
      <c r="O249"/>
      <c r="P249"/>
      <c r="Q249"/>
    </row>
    <row r="250" spans="6:17" x14ac:dyDescent="0.3">
      <c r="F250"/>
      <c r="G250"/>
      <c r="H250"/>
      <c r="I250"/>
      <c r="J250"/>
      <c r="K250"/>
      <c r="L250"/>
      <c r="M250"/>
      <c r="N250"/>
      <c r="O250"/>
      <c r="P250"/>
      <c r="Q250"/>
    </row>
    <row r="251" spans="6:17" x14ac:dyDescent="0.3">
      <c r="F251"/>
      <c r="G251"/>
      <c r="H251"/>
      <c r="I251"/>
      <c r="J251"/>
      <c r="K251"/>
      <c r="L251"/>
      <c r="M251"/>
      <c r="N251"/>
      <c r="O251"/>
      <c r="P251"/>
      <c r="Q251"/>
    </row>
    <row r="252" spans="6:17" x14ac:dyDescent="0.3">
      <c r="F252"/>
      <c r="G252"/>
      <c r="H252"/>
      <c r="I252"/>
      <c r="J252"/>
      <c r="K252"/>
      <c r="L252"/>
      <c r="M252"/>
      <c r="N252"/>
      <c r="O252"/>
      <c r="P252"/>
      <c r="Q252"/>
    </row>
    <row r="253" spans="6:17" x14ac:dyDescent="0.3">
      <c r="F253"/>
      <c r="G253"/>
      <c r="H253"/>
      <c r="I253"/>
      <c r="J253"/>
      <c r="K253"/>
      <c r="L253"/>
      <c r="M253"/>
      <c r="N253"/>
      <c r="O253"/>
      <c r="P253"/>
      <c r="Q253"/>
    </row>
    <row r="254" spans="6:17" x14ac:dyDescent="0.3">
      <c r="F254"/>
      <c r="G254"/>
      <c r="H254"/>
      <c r="I254"/>
      <c r="J254"/>
      <c r="K254"/>
      <c r="L254"/>
      <c r="M254"/>
      <c r="N254"/>
      <c r="O254"/>
      <c r="P254"/>
      <c r="Q254"/>
    </row>
    <row r="255" spans="6:17" x14ac:dyDescent="0.3">
      <c r="F255"/>
      <c r="G255"/>
      <c r="H255"/>
      <c r="I255"/>
      <c r="J255"/>
      <c r="K255"/>
      <c r="L255"/>
      <c r="M255"/>
      <c r="N255"/>
      <c r="O255"/>
      <c r="P255"/>
      <c r="Q255"/>
    </row>
    <row r="256" spans="6:17" x14ac:dyDescent="0.3">
      <c r="F256"/>
      <c r="G256"/>
      <c r="H256"/>
      <c r="I256"/>
      <c r="J256"/>
      <c r="K256"/>
      <c r="L256"/>
      <c r="M256"/>
      <c r="N256"/>
      <c r="O256"/>
      <c r="P256"/>
      <c r="Q256"/>
    </row>
    <row r="257" spans="6:17" x14ac:dyDescent="0.3">
      <c r="F257"/>
      <c r="G257"/>
      <c r="H257"/>
      <c r="I257"/>
      <c r="J257"/>
      <c r="K257"/>
      <c r="L257"/>
      <c r="M257"/>
      <c r="N257"/>
      <c r="O257"/>
      <c r="P257"/>
      <c r="Q257"/>
    </row>
    <row r="258" spans="6:17" x14ac:dyDescent="0.3">
      <c r="F258"/>
      <c r="G258"/>
      <c r="H258"/>
      <c r="I258"/>
      <c r="J258"/>
      <c r="K258"/>
      <c r="L258"/>
      <c r="M258"/>
      <c r="N258"/>
      <c r="O258"/>
      <c r="P258"/>
      <c r="Q258"/>
    </row>
    <row r="259" spans="6:17" x14ac:dyDescent="0.3">
      <c r="F259"/>
      <c r="G259"/>
      <c r="H259"/>
      <c r="I259"/>
      <c r="J259"/>
      <c r="K259"/>
      <c r="L259"/>
      <c r="M259"/>
      <c r="N259"/>
      <c r="O259"/>
      <c r="P259"/>
      <c r="Q259"/>
    </row>
    <row r="260" spans="6:17" x14ac:dyDescent="0.3">
      <c r="F260"/>
      <c r="G260"/>
      <c r="H260"/>
      <c r="I260"/>
      <c r="J260"/>
      <c r="K260"/>
      <c r="L260"/>
      <c r="M260"/>
      <c r="N260"/>
      <c r="O260"/>
      <c r="P260"/>
      <c r="Q260"/>
    </row>
    <row r="261" spans="6:17" x14ac:dyDescent="0.3">
      <c r="F261"/>
      <c r="G261"/>
      <c r="H261"/>
      <c r="I261"/>
      <c r="J261"/>
      <c r="K261"/>
      <c r="L261"/>
      <c r="M261"/>
      <c r="N261"/>
      <c r="O261"/>
      <c r="P261"/>
      <c r="Q261"/>
    </row>
    <row r="262" spans="6:17" x14ac:dyDescent="0.3">
      <c r="F262"/>
      <c r="G262"/>
      <c r="H262"/>
      <c r="I262"/>
      <c r="J262"/>
      <c r="K262"/>
      <c r="L262"/>
      <c r="M262"/>
      <c r="N262"/>
      <c r="O262"/>
      <c r="P262"/>
      <c r="Q262"/>
    </row>
    <row r="263" spans="6:17" x14ac:dyDescent="0.3">
      <c r="F263"/>
      <c r="G263"/>
      <c r="H263"/>
      <c r="I263"/>
      <c r="J263"/>
      <c r="K263"/>
      <c r="L263"/>
      <c r="M263"/>
      <c r="N263"/>
      <c r="O263"/>
      <c r="P263"/>
      <c r="Q263"/>
    </row>
    <row r="264" spans="6:17" x14ac:dyDescent="0.3">
      <c r="F264"/>
      <c r="G264"/>
      <c r="H264"/>
      <c r="I264"/>
      <c r="J264"/>
      <c r="K264"/>
      <c r="L264"/>
      <c r="M264"/>
      <c r="N264"/>
      <c r="O264"/>
      <c r="P264"/>
      <c r="Q264"/>
    </row>
    <row r="265" spans="6:17" x14ac:dyDescent="0.3">
      <c r="F265"/>
      <c r="G265"/>
      <c r="H265"/>
      <c r="I265"/>
      <c r="J265"/>
      <c r="K265"/>
      <c r="L265"/>
      <c r="M265"/>
      <c r="N265"/>
      <c r="O265"/>
      <c r="P265"/>
      <c r="Q265"/>
    </row>
    <row r="266" spans="6:17" x14ac:dyDescent="0.3">
      <c r="F266"/>
      <c r="G266"/>
      <c r="H266"/>
      <c r="I266"/>
      <c r="J266"/>
      <c r="K266"/>
      <c r="L266"/>
      <c r="M266"/>
      <c r="N266"/>
      <c r="O266"/>
      <c r="P266"/>
      <c r="Q266"/>
    </row>
    <row r="267" spans="6:17" x14ac:dyDescent="0.3">
      <c r="F267"/>
      <c r="G267"/>
      <c r="H267"/>
      <c r="I267"/>
      <c r="J267"/>
      <c r="K267"/>
      <c r="L267"/>
      <c r="M267"/>
      <c r="N267"/>
      <c r="O267"/>
      <c r="P267"/>
      <c r="Q267"/>
    </row>
    <row r="268" spans="6:17" x14ac:dyDescent="0.3">
      <c r="F268"/>
      <c r="G268"/>
      <c r="H268"/>
      <c r="I268"/>
      <c r="J268"/>
      <c r="K268"/>
      <c r="L268"/>
      <c r="M268"/>
      <c r="N268"/>
      <c r="O268"/>
      <c r="P268"/>
      <c r="Q268"/>
    </row>
    <row r="269" spans="6:17" x14ac:dyDescent="0.3">
      <c r="F269"/>
      <c r="G269"/>
      <c r="H269"/>
      <c r="I269"/>
      <c r="J269"/>
      <c r="K269"/>
      <c r="L269"/>
      <c r="M269"/>
      <c r="N269"/>
      <c r="O269"/>
      <c r="P269"/>
      <c r="Q269"/>
    </row>
    <row r="270" spans="6:17" x14ac:dyDescent="0.3">
      <c r="F270"/>
      <c r="G270"/>
      <c r="H270"/>
      <c r="I270"/>
      <c r="J270"/>
      <c r="K270"/>
      <c r="L270"/>
      <c r="M270"/>
      <c r="N270"/>
      <c r="O270"/>
      <c r="P270"/>
      <c r="Q270"/>
    </row>
    <row r="271" spans="6:17" x14ac:dyDescent="0.3">
      <c r="F271"/>
      <c r="G271"/>
      <c r="H271"/>
      <c r="I271"/>
      <c r="J271"/>
      <c r="K271"/>
      <c r="L271"/>
      <c r="M271"/>
      <c r="N271"/>
      <c r="O271"/>
      <c r="P271"/>
      <c r="Q271"/>
    </row>
    <row r="272" spans="6:17" x14ac:dyDescent="0.3">
      <c r="F272"/>
      <c r="G272"/>
      <c r="H272"/>
      <c r="I272"/>
      <c r="J272"/>
      <c r="K272"/>
      <c r="L272"/>
      <c r="M272"/>
      <c r="N272"/>
      <c r="O272"/>
      <c r="P272"/>
      <c r="Q272"/>
    </row>
    <row r="273" spans="6:17" x14ac:dyDescent="0.3">
      <c r="F273"/>
      <c r="G273"/>
      <c r="H273"/>
      <c r="I273"/>
      <c r="J273"/>
      <c r="K273"/>
      <c r="L273"/>
      <c r="M273"/>
      <c r="N273"/>
      <c r="O273"/>
      <c r="P273"/>
      <c r="Q273"/>
    </row>
    <row r="274" spans="6:17" x14ac:dyDescent="0.3">
      <c r="F274"/>
      <c r="G274"/>
      <c r="H274"/>
      <c r="I274"/>
      <c r="J274"/>
      <c r="K274"/>
      <c r="L274"/>
      <c r="M274"/>
      <c r="N274"/>
      <c r="O274"/>
      <c r="P274"/>
      <c r="Q274"/>
    </row>
    <row r="275" spans="6:17" x14ac:dyDescent="0.3">
      <c r="F275"/>
      <c r="G275"/>
      <c r="H275"/>
      <c r="I275"/>
      <c r="J275"/>
      <c r="K275"/>
      <c r="L275"/>
      <c r="M275"/>
      <c r="N275"/>
      <c r="O275"/>
      <c r="P275"/>
      <c r="Q275"/>
    </row>
    <row r="276" spans="6:17" x14ac:dyDescent="0.3">
      <c r="F276"/>
      <c r="G276"/>
      <c r="H276"/>
      <c r="I276"/>
      <c r="J276"/>
      <c r="K276"/>
      <c r="L276"/>
      <c r="M276"/>
      <c r="N276"/>
      <c r="O276"/>
      <c r="P276"/>
      <c r="Q276"/>
    </row>
    <row r="277" spans="6:17" x14ac:dyDescent="0.3">
      <c r="F277"/>
      <c r="G277"/>
      <c r="H277"/>
      <c r="I277"/>
      <c r="J277"/>
      <c r="K277"/>
      <c r="L277"/>
      <c r="M277"/>
      <c r="N277"/>
      <c r="O277"/>
      <c r="P277"/>
      <c r="Q277"/>
    </row>
    <row r="278" spans="6:17" x14ac:dyDescent="0.3">
      <c r="F278"/>
      <c r="G278"/>
      <c r="H278"/>
      <c r="I278"/>
      <c r="J278"/>
      <c r="K278"/>
      <c r="L278"/>
      <c r="M278"/>
      <c r="N278"/>
      <c r="O278"/>
      <c r="P278"/>
      <c r="Q278"/>
    </row>
    <row r="279" spans="6:17" x14ac:dyDescent="0.3">
      <c r="F279"/>
      <c r="G279"/>
      <c r="H279"/>
      <c r="I279"/>
      <c r="J279"/>
      <c r="K279"/>
      <c r="L279"/>
      <c r="M279"/>
      <c r="N279"/>
      <c r="O279"/>
      <c r="P279"/>
      <c r="Q279"/>
    </row>
    <row r="280" spans="6:17" x14ac:dyDescent="0.3">
      <c r="F280"/>
      <c r="G280"/>
      <c r="H280"/>
      <c r="I280"/>
      <c r="J280"/>
      <c r="K280"/>
      <c r="L280"/>
      <c r="M280"/>
      <c r="N280"/>
      <c r="O280"/>
      <c r="P280"/>
      <c r="Q280"/>
    </row>
    <row r="281" spans="6:17" x14ac:dyDescent="0.3">
      <c r="F281"/>
      <c r="G281"/>
      <c r="H281"/>
      <c r="I281"/>
      <c r="J281"/>
      <c r="K281"/>
      <c r="L281"/>
      <c r="M281"/>
      <c r="N281"/>
      <c r="O281"/>
      <c r="P281"/>
      <c r="Q281"/>
    </row>
    <row r="282" spans="6:17" x14ac:dyDescent="0.3">
      <c r="F282"/>
      <c r="G282"/>
      <c r="H282"/>
      <c r="I282"/>
      <c r="J282"/>
      <c r="K282"/>
      <c r="L282"/>
      <c r="M282"/>
      <c r="N282"/>
      <c r="O282"/>
      <c r="P282"/>
      <c r="Q282"/>
    </row>
    <row r="283" spans="6:17" x14ac:dyDescent="0.3">
      <c r="F283"/>
      <c r="G283"/>
      <c r="H283"/>
      <c r="I283"/>
      <c r="J283"/>
      <c r="K283"/>
      <c r="L283"/>
      <c r="M283"/>
      <c r="N283"/>
      <c r="O283"/>
      <c r="P283"/>
      <c r="Q283"/>
    </row>
    <row r="284" spans="6:17" x14ac:dyDescent="0.3">
      <c r="F284"/>
      <c r="G284"/>
      <c r="H284"/>
      <c r="I284"/>
      <c r="J284"/>
      <c r="K284"/>
      <c r="L284"/>
      <c r="M284"/>
      <c r="N284"/>
      <c r="O284"/>
      <c r="P284"/>
      <c r="Q284"/>
    </row>
    <row r="285" spans="6:17" x14ac:dyDescent="0.3">
      <c r="F285"/>
      <c r="G285"/>
      <c r="H285"/>
      <c r="I285"/>
      <c r="J285"/>
      <c r="K285"/>
      <c r="L285"/>
      <c r="M285"/>
      <c r="N285"/>
      <c r="O285"/>
      <c r="P285"/>
      <c r="Q285"/>
    </row>
    <row r="286" spans="6:17" x14ac:dyDescent="0.3">
      <c r="F286"/>
      <c r="G286"/>
      <c r="H286"/>
      <c r="I286"/>
      <c r="J286"/>
      <c r="K286"/>
      <c r="L286"/>
      <c r="M286"/>
      <c r="N286"/>
      <c r="O286"/>
      <c r="P286"/>
      <c r="Q286"/>
    </row>
    <row r="287" spans="6:17" x14ac:dyDescent="0.3">
      <c r="F287"/>
      <c r="G287"/>
      <c r="H287"/>
      <c r="I287"/>
      <c r="J287"/>
      <c r="K287"/>
      <c r="L287"/>
      <c r="M287"/>
      <c r="N287"/>
      <c r="O287"/>
      <c r="P287"/>
      <c r="Q287"/>
    </row>
    <row r="288" spans="6:17" x14ac:dyDescent="0.3">
      <c r="F288"/>
      <c r="G288"/>
      <c r="H288"/>
      <c r="I288"/>
      <c r="J288"/>
      <c r="K288"/>
      <c r="L288"/>
      <c r="M288"/>
      <c r="N288"/>
      <c r="O288"/>
      <c r="P288"/>
      <c r="Q288"/>
    </row>
    <row r="289" spans="6:17" x14ac:dyDescent="0.3">
      <c r="F289"/>
      <c r="G289"/>
      <c r="H289"/>
      <c r="I289"/>
      <c r="J289"/>
      <c r="K289"/>
      <c r="L289"/>
      <c r="M289"/>
      <c r="N289"/>
      <c r="O289"/>
      <c r="P289"/>
      <c r="Q289"/>
    </row>
    <row r="290" spans="6:17" x14ac:dyDescent="0.3">
      <c r="F290"/>
      <c r="G290"/>
      <c r="H290"/>
      <c r="I290"/>
      <c r="J290"/>
      <c r="K290"/>
      <c r="L290"/>
      <c r="M290"/>
      <c r="N290"/>
      <c r="O290"/>
      <c r="P290"/>
      <c r="Q290"/>
    </row>
    <row r="291" spans="6:17" x14ac:dyDescent="0.3">
      <c r="F291"/>
      <c r="G291"/>
      <c r="H291"/>
      <c r="I291"/>
      <c r="J291"/>
      <c r="K291"/>
      <c r="L291"/>
      <c r="M291"/>
      <c r="N291"/>
      <c r="O291"/>
      <c r="P291"/>
      <c r="Q291"/>
    </row>
    <row r="292" spans="6:17" x14ac:dyDescent="0.3">
      <c r="F292"/>
      <c r="G292"/>
      <c r="H292"/>
      <c r="I292"/>
      <c r="J292"/>
      <c r="K292"/>
      <c r="L292"/>
      <c r="M292"/>
      <c r="N292"/>
      <c r="O292"/>
      <c r="P292"/>
      <c r="Q292"/>
    </row>
    <row r="293" spans="6:17" x14ac:dyDescent="0.3">
      <c r="F293"/>
      <c r="G293"/>
      <c r="H293"/>
      <c r="I293"/>
      <c r="J293"/>
      <c r="K293"/>
      <c r="L293"/>
      <c r="M293"/>
      <c r="N293"/>
      <c r="O293"/>
      <c r="P293"/>
      <c r="Q293"/>
    </row>
    <row r="294" spans="6:17" x14ac:dyDescent="0.3">
      <c r="F294"/>
      <c r="G294"/>
      <c r="H294"/>
      <c r="I294"/>
      <c r="J294"/>
      <c r="K294"/>
      <c r="L294"/>
      <c r="M294"/>
      <c r="N294"/>
      <c r="O294"/>
      <c r="P294"/>
      <c r="Q294"/>
    </row>
    <row r="295" spans="6:17" x14ac:dyDescent="0.3">
      <c r="F295"/>
      <c r="G295"/>
      <c r="H295"/>
      <c r="I295"/>
      <c r="J295"/>
      <c r="K295"/>
      <c r="L295"/>
      <c r="M295"/>
      <c r="N295"/>
      <c r="O295"/>
      <c r="P295"/>
      <c r="Q295"/>
    </row>
    <row r="296" spans="6:17" x14ac:dyDescent="0.3">
      <c r="F296"/>
      <c r="G296"/>
      <c r="H296"/>
      <c r="I296"/>
      <c r="J296"/>
      <c r="K296"/>
      <c r="L296"/>
      <c r="M296"/>
      <c r="N296"/>
      <c r="O296"/>
      <c r="P296"/>
      <c r="Q296"/>
    </row>
    <row r="297" spans="6:17" x14ac:dyDescent="0.3">
      <c r="F297"/>
      <c r="G297"/>
      <c r="H297"/>
      <c r="I297"/>
      <c r="J297"/>
      <c r="K297"/>
      <c r="L297"/>
      <c r="M297"/>
      <c r="N297"/>
      <c r="O297"/>
      <c r="P297"/>
      <c r="Q297"/>
    </row>
    <row r="298" spans="6:17" x14ac:dyDescent="0.3">
      <c r="F298"/>
      <c r="G298"/>
      <c r="H298"/>
      <c r="I298"/>
      <c r="J298"/>
      <c r="K298"/>
      <c r="L298"/>
      <c r="M298"/>
      <c r="N298"/>
      <c r="O298"/>
      <c r="P298"/>
      <c r="Q298"/>
    </row>
    <row r="299" spans="6:17" x14ac:dyDescent="0.3">
      <c r="F299"/>
      <c r="G299"/>
      <c r="H299"/>
      <c r="I299"/>
      <c r="J299"/>
      <c r="K299"/>
      <c r="L299"/>
      <c r="M299"/>
      <c r="N299"/>
      <c r="O299"/>
      <c r="P299"/>
      <c r="Q299"/>
    </row>
    <row r="300" spans="6:17" x14ac:dyDescent="0.3">
      <c r="F300"/>
      <c r="G300"/>
      <c r="H300"/>
      <c r="I300"/>
      <c r="J300"/>
      <c r="K300"/>
      <c r="L300"/>
      <c r="M300"/>
      <c r="N300"/>
      <c r="O300"/>
      <c r="P300"/>
      <c r="Q300"/>
    </row>
    <row r="301" spans="6:17" x14ac:dyDescent="0.3">
      <c r="F301"/>
      <c r="G301"/>
      <c r="H301"/>
      <c r="I301"/>
      <c r="J301"/>
      <c r="K301"/>
      <c r="L301"/>
      <c r="M301"/>
      <c r="N301"/>
      <c r="O301"/>
      <c r="P301"/>
      <c r="Q301"/>
    </row>
    <row r="302" spans="6:17" x14ac:dyDescent="0.3">
      <c r="F302"/>
      <c r="G302"/>
      <c r="H302"/>
      <c r="I302"/>
      <c r="J302"/>
      <c r="K302"/>
      <c r="L302"/>
      <c r="M302"/>
      <c r="N302"/>
      <c r="O302"/>
      <c r="P302"/>
      <c r="Q302"/>
    </row>
    <row r="303" spans="6:17" x14ac:dyDescent="0.3">
      <c r="F303"/>
      <c r="G303"/>
      <c r="H303"/>
      <c r="I303"/>
      <c r="J303"/>
      <c r="K303"/>
      <c r="L303"/>
      <c r="M303"/>
      <c r="N303"/>
      <c r="O303"/>
      <c r="P303"/>
      <c r="Q303"/>
    </row>
    <row r="304" spans="6:17" x14ac:dyDescent="0.3">
      <c r="F304"/>
      <c r="G304"/>
      <c r="H304"/>
      <c r="I304"/>
      <c r="J304"/>
      <c r="K304"/>
      <c r="L304"/>
      <c r="M304"/>
      <c r="N304"/>
      <c r="O304"/>
      <c r="P304"/>
      <c r="Q304"/>
    </row>
    <row r="305" spans="6:17" x14ac:dyDescent="0.3">
      <c r="F305"/>
      <c r="G305"/>
      <c r="H305"/>
      <c r="I305"/>
      <c r="J305"/>
      <c r="K305"/>
      <c r="L305"/>
      <c r="M305"/>
      <c r="N305"/>
      <c r="O305"/>
      <c r="P305"/>
      <c r="Q305"/>
    </row>
    <row r="306" spans="6:17" x14ac:dyDescent="0.3">
      <c r="F306"/>
      <c r="G306"/>
      <c r="H306"/>
      <c r="I306"/>
      <c r="J306"/>
      <c r="K306"/>
      <c r="L306"/>
      <c r="M306"/>
      <c r="N306"/>
      <c r="O306"/>
      <c r="P306"/>
      <c r="Q306"/>
    </row>
    <row r="307" spans="6:17" x14ac:dyDescent="0.3">
      <c r="F307"/>
      <c r="G307"/>
      <c r="H307"/>
      <c r="I307"/>
      <c r="J307"/>
      <c r="K307"/>
      <c r="L307"/>
      <c r="M307"/>
      <c r="N307"/>
      <c r="O307"/>
      <c r="P307"/>
      <c r="Q307"/>
    </row>
    <row r="308" spans="6:17" x14ac:dyDescent="0.3">
      <c r="F308"/>
      <c r="G308"/>
      <c r="H308"/>
      <c r="I308"/>
      <c r="J308"/>
      <c r="K308"/>
      <c r="L308"/>
      <c r="M308"/>
      <c r="N308"/>
      <c r="O308"/>
      <c r="P308"/>
      <c r="Q308"/>
    </row>
    <row r="309" spans="6:17" x14ac:dyDescent="0.3">
      <c r="F309"/>
      <c r="G309"/>
      <c r="H309"/>
      <c r="I309"/>
      <c r="J309"/>
      <c r="K309"/>
      <c r="L309"/>
      <c r="M309"/>
      <c r="N309"/>
      <c r="O309"/>
      <c r="P309"/>
      <c r="Q309"/>
    </row>
    <row r="310" spans="6:17" x14ac:dyDescent="0.3">
      <c r="F310"/>
      <c r="G310"/>
      <c r="H310"/>
      <c r="I310"/>
      <c r="J310"/>
      <c r="K310"/>
      <c r="L310"/>
      <c r="M310"/>
      <c r="N310"/>
      <c r="O310"/>
      <c r="P310"/>
      <c r="Q310"/>
    </row>
    <row r="311" spans="6:17" x14ac:dyDescent="0.3">
      <c r="F311"/>
      <c r="G311"/>
      <c r="H311"/>
      <c r="I311"/>
      <c r="J311"/>
      <c r="K311"/>
      <c r="L311"/>
      <c r="M311"/>
      <c r="N311"/>
      <c r="O311"/>
      <c r="P311"/>
      <c r="Q311"/>
    </row>
    <row r="312" spans="6:17" x14ac:dyDescent="0.3">
      <c r="F312"/>
      <c r="G312"/>
      <c r="H312"/>
      <c r="I312"/>
      <c r="J312"/>
      <c r="K312"/>
      <c r="L312"/>
      <c r="M312"/>
      <c r="N312"/>
      <c r="O312"/>
      <c r="P312"/>
      <c r="Q312"/>
    </row>
    <row r="313" spans="6:17" x14ac:dyDescent="0.3">
      <c r="F313"/>
      <c r="G313"/>
      <c r="H313"/>
      <c r="I313"/>
      <c r="J313"/>
      <c r="K313"/>
      <c r="L313"/>
      <c r="M313"/>
      <c r="N313"/>
      <c r="O313"/>
      <c r="P313"/>
      <c r="Q313"/>
    </row>
    <row r="314" spans="6:17" x14ac:dyDescent="0.3">
      <c r="F314"/>
      <c r="G314"/>
      <c r="H314"/>
      <c r="I314"/>
      <c r="J314"/>
      <c r="K314"/>
      <c r="L314"/>
      <c r="M314"/>
      <c r="N314"/>
      <c r="O314"/>
      <c r="P314"/>
      <c r="Q314"/>
    </row>
    <row r="315" spans="6:17" x14ac:dyDescent="0.3">
      <c r="F315"/>
      <c r="G315"/>
      <c r="H315"/>
      <c r="I315"/>
      <c r="J315"/>
      <c r="K315"/>
      <c r="L315"/>
      <c r="M315"/>
      <c r="N315"/>
      <c r="O315"/>
      <c r="P315"/>
      <c r="Q315"/>
    </row>
    <row r="316" spans="6:17" x14ac:dyDescent="0.3">
      <c r="F316"/>
      <c r="G316"/>
      <c r="H316"/>
      <c r="I316"/>
      <c r="J316"/>
      <c r="K316"/>
      <c r="L316"/>
      <c r="M316"/>
      <c r="N316"/>
      <c r="O316"/>
      <c r="P316"/>
      <c r="Q316"/>
    </row>
    <row r="317" spans="6:17" x14ac:dyDescent="0.3">
      <c r="F317"/>
      <c r="G317"/>
      <c r="H317"/>
      <c r="I317"/>
      <c r="J317"/>
      <c r="K317"/>
      <c r="L317"/>
      <c r="M317"/>
      <c r="N317"/>
      <c r="O317"/>
      <c r="P317"/>
      <c r="Q317"/>
    </row>
    <row r="318" spans="6:17" x14ac:dyDescent="0.3">
      <c r="F318"/>
      <c r="G318"/>
      <c r="H318"/>
      <c r="I318"/>
      <c r="J318"/>
      <c r="K318"/>
      <c r="L318"/>
      <c r="M318"/>
      <c r="N318"/>
      <c r="O318"/>
      <c r="P318"/>
      <c r="Q318"/>
    </row>
    <row r="319" spans="6:17" x14ac:dyDescent="0.3">
      <c r="F319"/>
      <c r="G319"/>
      <c r="H319"/>
      <c r="I319"/>
      <c r="J319"/>
      <c r="K319"/>
      <c r="L319"/>
      <c r="M319"/>
      <c r="N319"/>
      <c r="O319"/>
      <c r="P319"/>
      <c r="Q319"/>
    </row>
    <row r="320" spans="6:17" x14ac:dyDescent="0.3">
      <c r="F320"/>
      <c r="G320"/>
      <c r="H320"/>
      <c r="I320"/>
      <c r="J320"/>
      <c r="K320"/>
      <c r="L320"/>
      <c r="M320"/>
      <c r="N320"/>
      <c r="O320"/>
      <c r="P320"/>
      <c r="Q320"/>
    </row>
    <row r="321" spans="6:17" x14ac:dyDescent="0.3">
      <c r="F321"/>
      <c r="G321"/>
      <c r="H321"/>
      <c r="I321"/>
      <c r="J321"/>
      <c r="K321"/>
      <c r="L321"/>
      <c r="M321"/>
      <c r="N321"/>
      <c r="O321"/>
      <c r="P321"/>
      <c r="Q321"/>
    </row>
    <row r="322" spans="6:17" x14ac:dyDescent="0.3">
      <c r="F322"/>
      <c r="G322"/>
      <c r="H322"/>
      <c r="I322"/>
      <c r="J322"/>
      <c r="K322"/>
      <c r="L322"/>
      <c r="M322"/>
      <c r="N322"/>
      <c r="O322"/>
      <c r="P322"/>
      <c r="Q322"/>
    </row>
    <row r="323" spans="6:17" x14ac:dyDescent="0.3">
      <c r="F323"/>
      <c r="G323"/>
      <c r="H323"/>
      <c r="I323"/>
      <c r="J323"/>
      <c r="K323"/>
      <c r="L323"/>
      <c r="M323"/>
      <c r="N323"/>
      <c r="O323"/>
      <c r="P323"/>
      <c r="Q323"/>
    </row>
    <row r="324" spans="6:17" x14ac:dyDescent="0.3">
      <c r="F324"/>
      <c r="G324"/>
      <c r="H324"/>
      <c r="I324"/>
      <c r="J324"/>
      <c r="K324"/>
      <c r="L324"/>
      <c r="M324"/>
      <c r="N324"/>
      <c r="O324"/>
      <c r="P324"/>
      <c r="Q324"/>
    </row>
    <row r="325" spans="6:17" x14ac:dyDescent="0.3">
      <c r="F325"/>
      <c r="G325"/>
      <c r="H325"/>
      <c r="I325"/>
      <c r="J325"/>
      <c r="K325"/>
      <c r="L325"/>
      <c r="M325"/>
      <c r="N325"/>
      <c r="O325"/>
      <c r="P325"/>
      <c r="Q325"/>
    </row>
    <row r="326" spans="6:17" x14ac:dyDescent="0.3">
      <c r="F326"/>
      <c r="G326"/>
      <c r="H326"/>
      <c r="I326"/>
      <c r="J326"/>
      <c r="K326"/>
      <c r="L326"/>
      <c r="M326"/>
      <c r="N326"/>
      <c r="O326"/>
      <c r="P326"/>
      <c r="Q326"/>
    </row>
    <row r="327" spans="6:17" x14ac:dyDescent="0.3">
      <c r="F327"/>
      <c r="G327"/>
      <c r="H327"/>
      <c r="I327"/>
      <c r="J327"/>
      <c r="K327"/>
      <c r="L327"/>
      <c r="M327"/>
      <c r="N327"/>
      <c r="O327"/>
      <c r="P327"/>
      <c r="Q327"/>
    </row>
    <row r="328" spans="6:17" x14ac:dyDescent="0.3">
      <c r="F328"/>
      <c r="G328"/>
      <c r="H328"/>
      <c r="I328"/>
      <c r="J328"/>
      <c r="K328"/>
      <c r="L328"/>
      <c r="M328"/>
      <c r="N328"/>
      <c r="O328"/>
      <c r="P328"/>
      <c r="Q328"/>
    </row>
    <row r="329" spans="6:17" x14ac:dyDescent="0.3">
      <c r="F329"/>
      <c r="G329"/>
      <c r="H329"/>
      <c r="I329"/>
      <c r="J329"/>
      <c r="K329"/>
      <c r="L329"/>
      <c r="M329"/>
      <c r="N329"/>
      <c r="O329"/>
      <c r="P329"/>
      <c r="Q329"/>
    </row>
    <row r="330" spans="6:17" x14ac:dyDescent="0.3">
      <c r="F330"/>
      <c r="G330"/>
      <c r="H330"/>
      <c r="I330"/>
      <c r="J330"/>
      <c r="K330"/>
      <c r="L330"/>
      <c r="M330"/>
      <c r="N330"/>
      <c r="O330"/>
      <c r="P330"/>
      <c r="Q330"/>
    </row>
    <row r="331" spans="6:17" x14ac:dyDescent="0.3">
      <c r="F331"/>
      <c r="G331"/>
      <c r="H331"/>
      <c r="I331"/>
      <c r="J331"/>
      <c r="K331"/>
      <c r="L331"/>
      <c r="M331"/>
      <c r="N331"/>
      <c r="O331"/>
      <c r="P331"/>
      <c r="Q331"/>
    </row>
    <row r="332" spans="6:17" x14ac:dyDescent="0.3">
      <c r="F332"/>
      <c r="G332"/>
      <c r="H332"/>
      <c r="I332"/>
      <c r="J332"/>
      <c r="K332"/>
      <c r="L332"/>
      <c r="M332"/>
      <c r="N332"/>
      <c r="O332"/>
      <c r="P332"/>
      <c r="Q332"/>
    </row>
    <row r="333" spans="6:17" x14ac:dyDescent="0.3">
      <c r="F333"/>
      <c r="G333"/>
      <c r="H333"/>
      <c r="I333"/>
      <c r="J333"/>
      <c r="K333"/>
      <c r="L333"/>
      <c r="M333"/>
      <c r="N333"/>
      <c r="O333"/>
      <c r="P333"/>
      <c r="Q333"/>
    </row>
    <row r="334" spans="6:17" x14ac:dyDescent="0.3">
      <c r="F334"/>
      <c r="G334"/>
      <c r="H334"/>
      <c r="I334"/>
      <c r="J334"/>
      <c r="K334"/>
      <c r="L334"/>
      <c r="M334"/>
      <c r="N334"/>
      <c r="O334"/>
      <c r="P334"/>
      <c r="Q334"/>
    </row>
    <row r="335" spans="6:17" x14ac:dyDescent="0.3">
      <c r="F335"/>
      <c r="G335"/>
      <c r="H335"/>
      <c r="I335"/>
      <c r="J335"/>
      <c r="K335"/>
      <c r="L335"/>
      <c r="M335"/>
      <c r="N335"/>
      <c r="O335"/>
      <c r="P335"/>
      <c r="Q335"/>
    </row>
    <row r="336" spans="6:17" x14ac:dyDescent="0.3">
      <c r="F336"/>
      <c r="G336"/>
      <c r="H336"/>
      <c r="I336"/>
      <c r="J336"/>
      <c r="K336"/>
      <c r="L336"/>
      <c r="M336"/>
      <c r="N336"/>
      <c r="O336"/>
      <c r="P336"/>
      <c r="Q336"/>
    </row>
    <row r="337" spans="6:17" x14ac:dyDescent="0.3">
      <c r="F337"/>
      <c r="G337"/>
      <c r="H337"/>
      <c r="I337"/>
      <c r="J337"/>
      <c r="K337"/>
      <c r="L337"/>
      <c r="M337"/>
      <c r="N337"/>
      <c r="O337"/>
      <c r="P337"/>
      <c r="Q337"/>
    </row>
    <row r="338" spans="6:17" x14ac:dyDescent="0.3">
      <c r="F338"/>
      <c r="G338"/>
      <c r="H338"/>
      <c r="I338"/>
      <c r="J338"/>
      <c r="K338"/>
      <c r="L338"/>
      <c r="M338"/>
      <c r="N338"/>
      <c r="O338"/>
      <c r="P338"/>
      <c r="Q338"/>
    </row>
    <row r="339" spans="6:17" x14ac:dyDescent="0.3">
      <c r="F339"/>
      <c r="G339"/>
      <c r="H339"/>
      <c r="I339"/>
      <c r="J339"/>
      <c r="K339"/>
      <c r="L339"/>
      <c r="M339"/>
      <c r="N339"/>
      <c r="O339"/>
      <c r="P339"/>
      <c r="Q339"/>
    </row>
    <row r="340" spans="6:17" x14ac:dyDescent="0.3">
      <c r="F340"/>
      <c r="G340"/>
      <c r="H340"/>
      <c r="I340"/>
      <c r="J340"/>
      <c r="K340"/>
      <c r="L340"/>
      <c r="M340"/>
      <c r="N340"/>
      <c r="O340"/>
      <c r="P340"/>
      <c r="Q340"/>
    </row>
    <row r="341" spans="6:17" x14ac:dyDescent="0.3">
      <c r="F341"/>
      <c r="G341"/>
      <c r="H341"/>
      <c r="I341"/>
      <c r="J341"/>
      <c r="K341"/>
      <c r="L341"/>
      <c r="M341"/>
      <c r="N341"/>
      <c r="O341"/>
      <c r="P341"/>
      <c r="Q341"/>
    </row>
    <row r="342" spans="6:17" x14ac:dyDescent="0.3">
      <c r="F342"/>
      <c r="G342"/>
      <c r="H342"/>
      <c r="I342"/>
      <c r="J342"/>
      <c r="K342"/>
      <c r="L342"/>
      <c r="M342"/>
      <c r="N342"/>
      <c r="O342"/>
      <c r="P342"/>
      <c r="Q342"/>
    </row>
    <row r="343" spans="6:17" x14ac:dyDescent="0.3">
      <c r="F343"/>
      <c r="G343"/>
      <c r="H343"/>
      <c r="I343"/>
      <c r="J343"/>
      <c r="K343"/>
      <c r="L343"/>
      <c r="M343"/>
      <c r="N343"/>
      <c r="O343"/>
      <c r="P343"/>
      <c r="Q343"/>
    </row>
    <row r="344" spans="6:17" x14ac:dyDescent="0.3">
      <c r="F344"/>
      <c r="G344"/>
      <c r="H344"/>
      <c r="I344"/>
      <c r="J344"/>
      <c r="K344"/>
      <c r="L344"/>
      <c r="M344"/>
      <c r="N344"/>
      <c r="O344"/>
      <c r="P344"/>
      <c r="Q344"/>
    </row>
    <row r="345" spans="6:17" x14ac:dyDescent="0.3">
      <c r="F345"/>
      <c r="G345"/>
      <c r="H345"/>
      <c r="I345"/>
      <c r="J345"/>
      <c r="K345"/>
      <c r="L345"/>
      <c r="M345"/>
      <c r="N345"/>
      <c r="O345"/>
      <c r="P345"/>
      <c r="Q345"/>
    </row>
    <row r="346" spans="6:17" x14ac:dyDescent="0.3">
      <c r="F346"/>
      <c r="G346"/>
      <c r="H346"/>
      <c r="I346"/>
      <c r="J346"/>
      <c r="K346"/>
      <c r="L346"/>
      <c r="M346"/>
      <c r="N346"/>
      <c r="O346"/>
      <c r="P346"/>
      <c r="Q346"/>
    </row>
    <row r="347" spans="6:17" x14ac:dyDescent="0.3">
      <c r="F347"/>
      <c r="G347"/>
      <c r="H347"/>
      <c r="I347"/>
      <c r="J347"/>
      <c r="K347"/>
      <c r="L347"/>
      <c r="M347"/>
      <c r="N347"/>
      <c r="O347"/>
      <c r="P347"/>
      <c r="Q347"/>
    </row>
    <row r="348" spans="6:17" x14ac:dyDescent="0.3">
      <c r="F348"/>
      <c r="G348"/>
      <c r="H348"/>
      <c r="I348"/>
      <c r="J348"/>
      <c r="K348"/>
      <c r="L348"/>
      <c r="M348"/>
      <c r="N348"/>
      <c r="O348"/>
      <c r="P348"/>
      <c r="Q348"/>
    </row>
    <row r="349" spans="6:17" x14ac:dyDescent="0.3">
      <c r="F349"/>
      <c r="G349"/>
      <c r="H349"/>
      <c r="I349"/>
      <c r="J349"/>
      <c r="K349"/>
      <c r="L349"/>
      <c r="M349"/>
      <c r="N349"/>
      <c r="O349"/>
      <c r="P349"/>
      <c r="Q349"/>
    </row>
    <row r="350" spans="6:17" x14ac:dyDescent="0.3">
      <c r="F350"/>
      <c r="G350"/>
      <c r="H350"/>
      <c r="I350"/>
      <c r="J350"/>
      <c r="K350"/>
      <c r="L350"/>
      <c r="M350"/>
      <c r="N350"/>
      <c r="O350"/>
      <c r="P350"/>
      <c r="Q350"/>
    </row>
    <row r="351" spans="6:17" x14ac:dyDescent="0.3">
      <c r="F351"/>
      <c r="G351"/>
      <c r="H351"/>
      <c r="I351"/>
      <c r="J351"/>
      <c r="K351"/>
      <c r="L351"/>
      <c r="M351"/>
      <c r="N351"/>
      <c r="O351"/>
      <c r="P351"/>
      <c r="Q351"/>
    </row>
    <row r="352" spans="6:17" x14ac:dyDescent="0.3">
      <c r="F352"/>
      <c r="G352"/>
      <c r="H352"/>
      <c r="I352"/>
      <c r="J352"/>
      <c r="K352"/>
      <c r="L352"/>
      <c r="M352"/>
      <c r="N352"/>
      <c r="O352"/>
      <c r="P352"/>
      <c r="Q352"/>
    </row>
    <row r="353" spans="6:17" x14ac:dyDescent="0.3">
      <c r="F353"/>
      <c r="G353"/>
      <c r="H353"/>
      <c r="I353"/>
      <c r="J353"/>
      <c r="K353"/>
      <c r="L353"/>
      <c r="M353"/>
      <c r="N353"/>
      <c r="O353"/>
      <c r="P353"/>
      <c r="Q353"/>
    </row>
    <row r="354" spans="6:17" x14ac:dyDescent="0.3">
      <c r="F354"/>
      <c r="G354"/>
      <c r="H354"/>
      <c r="I354"/>
      <c r="J354"/>
      <c r="K354"/>
      <c r="L354"/>
      <c r="M354"/>
      <c r="N354"/>
      <c r="O354"/>
      <c r="P354"/>
      <c r="Q354"/>
    </row>
    <row r="355" spans="6:17" x14ac:dyDescent="0.3">
      <c r="F355"/>
      <c r="G355"/>
      <c r="H355"/>
      <c r="I355"/>
      <c r="J355"/>
      <c r="K355"/>
      <c r="L355"/>
      <c r="M355"/>
      <c r="N355"/>
      <c r="O355"/>
      <c r="P355"/>
      <c r="Q355"/>
    </row>
    <row r="356" spans="6:17" x14ac:dyDescent="0.3">
      <c r="F356"/>
      <c r="G356"/>
      <c r="H356"/>
      <c r="I356"/>
      <c r="J356"/>
      <c r="K356"/>
      <c r="L356"/>
      <c r="M356"/>
      <c r="N356"/>
      <c r="O356"/>
      <c r="P356"/>
      <c r="Q356"/>
    </row>
    <row r="357" spans="6:17" x14ac:dyDescent="0.3">
      <c r="F357"/>
      <c r="G357"/>
      <c r="H357"/>
      <c r="I357"/>
      <c r="J357"/>
      <c r="K357"/>
      <c r="L357"/>
      <c r="M357"/>
      <c r="N357"/>
      <c r="O357"/>
      <c r="P357"/>
      <c r="Q357"/>
    </row>
    <row r="358" spans="6:17" x14ac:dyDescent="0.3">
      <c r="F358"/>
      <c r="G358"/>
      <c r="H358"/>
      <c r="I358"/>
      <c r="J358"/>
      <c r="K358"/>
      <c r="L358"/>
      <c r="M358"/>
      <c r="N358"/>
      <c r="O358"/>
      <c r="P358"/>
      <c r="Q358"/>
    </row>
    <row r="359" spans="6:17" x14ac:dyDescent="0.3">
      <c r="F359"/>
      <c r="G359"/>
      <c r="H359"/>
      <c r="I359"/>
      <c r="J359"/>
      <c r="K359"/>
      <c r="L359"/>
      <c r="M359"/>
      <c r="N359"/>
      <c r="O359"/>
      <c r="P359"/>
      <c r="Q359"/>
    </row>
    <row r="360" spans="6:17" x14ac:dyDescent="0.3">
      <c r="F360"/>
      <c r="G360"/>
      <c r="H360"/>
      <c r="I360"/>
      <c r="J360"/>
      <c r="K360"/>
      <c r="L360"/>
      <c r="M360"/>
      <c r="N360"/>
      <c r="O360"/>
      <c r="P360"/>
      <c r="Q360"/>
    </row>
    <row r="361" spans="6:17" x14ac:dyDescent="0.3">
      <c r="F361"/>
      <c r="G361"/>
      <c r="H361"/>
      <c r="I361"/>
      <c r="J361"/>
      <c r="K361"/>
      <c r="L361"/>
      <c r="M361"/>
      <c r="N361"/>
      <c r="O361"/>
      <c r="P361"/>
      <c r="Q361"/>
    </row>
    <row r="362" spans="6:17" x14ac:dyDescent="0.3">
      <c r="F362"/>
      <c r="G362"/>
      <c r="H362"/>
      <c r="I362"/>
      <c r="J362"/>
      <c r="K362"/>
      <c r="L362"/>
      <c r="M362"/>
      <c r="N362"/>
      <c r="O362"/>
      <c r="P362"/>
      <c r="Q362"/>
    </row>
    <row r="363" spans="6:17" x14ac:dyDescent="0.3">
      <c r="F363"/>
      <c r="G363"/>
      <c r="H363"/>
      <c r="I363"/>
      <c r="J363"/>
      <c r="K363"/>
      <c r="L363"/>
      <c r="M363"/>
      <c r="N363"/>
      <c r="O363"/>
      <c r="P363"/>
      <c r="Q363"/>
    </row>
    <row r="364" spans="6:17" x14ac:dyDescent="0.3">
      <c r="F364"/>
      <c r="G364"/>
      <c r="H364"/>
      <c r="I364"/>
      <c r="J364"/>
      <c r="K364"/>
      <c r="L364"/>
      <c r="M364"/>
      <c r="N364"/>
      <c r="O364"/>
      <c r="P364"/>
      <c r="Q364"/>
    </row>
    <row r="365" spans="6:17" x14ac:dyDescent="0.3">
      <c r="F365"/>
      <c r="G365"/>
      <c r="H365"/>
      <c r="I365"/>
      <c r="J365"/>
      <c r="K365"/>
      <c r="L365"/>
      <c r="M365"/>
      <c r="N365"/>
      <c r="O365"/>
      <c r="P365"/>
      <c r="Q365"/>
    </row>
    <row r="366" spans="6:17" x14ac:dyDescent="0.3">
      <c r="F366"/>
      <c r="G366"/>
      <c r="H366"/>
      <c r="I366"/>
      <c r="J366"/>
      <c r="K366"/>
      <c r="L366"/>
      <c r="M366"/>
      <c r="N366"/>
      <c r="O366"/>
      <c r="P366"/>
      <c r="Q366"/>
    </row>
    <row r="367" spans="6:17" x14ac:dyDescent="0.3">
      <c r="F367"/>
      <c r="G367"/>
      <c r="H367"/>
      <c r="I367"/>
      <c r="J367"/>
      <c r="K367"/>
      <c r="L367"/>
      <c r="M367"/>
      <c r="N367"/>
      <c r="O367"/>
      <c r="P367"/>
      <c r="Q367"/>
    </row>
    <row r="368" spans="6:17" x14ac:dyDescent="0.3">
      <c r="F368"/>
      <c r="G368"/>
      <c r="H368"/>
      <c r="I368"/>
      <c r="J368"/>
      <c r="K368"/>
      <c r="L368"/>
      <c r="M368"/>
      <c r="N368"/>
      <c r="O368"/>
      <c r="P368"/>
      <c r="Q368"/>
    </row>
    <row r="369" spans="6:17" x14ac:dyDescent="0.3">
      <c r="F369"/>
      <c r="G369"/>
      <c r="H369"/>
      <c r="I369"/>
      <c r="J369"/>
      <c r="K369"/>
      <c r="L369"/>
      <c r="M369"/>
      <c r="N369"/>
      <c r="O369"/>
      <c r="P369"/>
      <c r="Q369"/>
    </row>
    <row r="370" spans="6:17" x14ac:dyDescent="0.3">
      <c r="F370"/>
      <c r="G370"/>
      <c r="H370"/>
      <c r="I370"/>
      <c r="J370"/>
      <c r="K370"/>
      <c r="L370"/>
      <c r="M370"/>
      <c r="N370"/>
      <c r="O370"/>
      <c r="P370"/>
      <c r="Q370"/>
    </row>
    <row r="371" spans="6:17" x14ac:dyDescent="0.3">
      <c r="F371"/>
      <c r="G371"/>
      <c r="H371"/>
      <c r="I371"/>
      <c r="J371"/>
      <c r="K371"/>
      <c r="L371"/>
      <c r="M371"/>
      <c r="N371"/>
      <c r="O371"/>
      <c r="P371"/>
      <c r="Q371"/>
    </row>
    <row r="372" spans="6:17" x14ac:dyDescent="0.3">
      <c r="F372"/>
      <c r="G372"/>
      <c r="H372"/>
      <c r="I372"/>
      <c r="J372"/>
      <c r="K372"/>
      <c r="L372"/>
      <c r="M372"/>
      <c r="N372"/>
      <c r="O372"/>
      <c r="P372"/>
      <c r="Q372"/>
    </row>
    <row r="373" spans="6:17" x14ac:dyDescent="0.3">
      <c r="F373"/>
      <c r="G373"/>
      <c r="H373"/>
      <c r="I373"/>
      <c r="J373"/>
      <c r="K373"/>
      <c r="L373"/>
      <c r="M373"/>
      <c r="N373"/>
      <c r="O373"/>
      <c r="P373"/>
      <c r="Q373"/>
    </row>
    <row r="374" spans="6:17" x14ac:dyDescent="0.3">
      <c r="F374"/>
      <c r="G374"/>
      <c r="H374"/>
      <c r="I374"/>
      <c r="J374"/>
      <c r="K374"/>
      <c r="L374"/>
      <c r="M374"/>
      <c r="N374"/>
      <c r="O374"/>
      <c r="P374"/>
      <c r="Q374"/>
    </row>
    <row r="375" spans="6:17" x14ac:dyDescent="0.3">
      <c r="F375"/>
      <c r="G375"/>
      <c r="H375"/>
      <c r="I375"/>
      <c r="J375"/>
      <c r="K375"/>
      <c r="L375"/>
      <c r="M375"/>
      <c r="N375"/>
      <c r="O375"/>
      <c r="P375"/>
      <c r="Q375"/>
    </row>
    <row r="376" spans="6:17" x14ac:dyDescent="0.3">
      <c r="F376"/>
      <c r="G376"/>
      <c r="H376"/>
      <c r="I376"/>
      <c r="J376"/>
      <c r="K376"/>
      <c r="L376"/>
      <c r="M376"/>
      <c r="N376"/>
      <c r="O376"/>
      <c r="P376"/>
      <c r="Q376"/>
    </row>
    <row r="377" spans="6:17" x14ac:dyDescent="0.3">
      <c r="F377"/>
      <c r="G377"/>
      <c r="H377"/>
      <c r="I377"/>
      <c r="J377"/>
      <c r="K377"/>
      <c r="L377"/>
      <c r="M377"/>
      <c r="N377"/>
      <c r="O377"/>
      <c r="P377"/>
      <c r="Q377"/>
    </row>
    <row r="378" spans="6:17" x14ac:dyDescent="0.3">
      <c r="F378"/>
      <c r="G378"/>
      <c r="H378"/>
      <c r="I378"/>
      <c r="J378"/>
      <c r="K378"/>
      <c r="L378"/>
      <c r="M378"/>
      <c r="N378"/>
      <c r="O378"/>
      <c r="P378"/>
      <c r="Q378"/>
    </row>
    <row r="379" spans="6:17" x14ac:dyDescent="0.3">
      <c r="F379"/>
      <c r="G379"/>
      <c r="H379"/>
      <c r="I379"/>
      <c r="J379"/>
      <c r="K379"/>
      <c r="L379"/>
      <c r="M379"/>
      <c r="N379"/>
      <c r="O379"/>
      <c r="P379"/>
      <c r="Q379"/>
    </row>
    <row r="380" spans="6:17" x14ac:dyDescent="0.3">
      <c r="F380"/>
      <c r="G380"/>
      <c r="H380"/>
      <c r="I380"/>
      <c r="J380"/>
      <c r="K380"/>
      <c r="L380"/>
      <c r="M380"/>
      <c r="N380"/>
      <c r="O380"/>
      <c r="P380"/>
      <c r="Q380"/>
    </row>
    <row r="381" spans="6:17" x14ac:dyDescent="0.3">
      <c r="F381"/>
      <c r="G381"/>
      <c r="H381"/>
      <c r="I381"/>
      <c r="J381"/>
      <c r="K381"/>
      <c r="L381"/>
      <c r="M381"/>
      <c r="N381"/>
      <c r="O381"/>
      <c r="P381"/>
      <c r="Q381"/>
    </row>
    <row r="382" spans="6:17" x14ac:dyDescent="0.3">
      <c r="F382"/>
      <c r="G382"/>
      <c r="H382"/>
      <c r="I382"/>
      <c r="J382"/>
      <c r="K382"/>
      <c r="L382"/>
      <c r="M382"/>
      <c r="N382"/>
      <c r="O382"/>
      <c r="P382"/>
      <c r="Q382"/>
    </row>
    <row r="383" spans="6:17" x14ac:dyDescent="0.3">
      <c r="F383"/>
      <c r="G383"/>
      <c r="H383"/>
      <c r="I383"/>
      <c r="J383"/>
      <c r="K383"/>
      <c r="L383"/>
      <c r="M383"/>
      <c r="N383"/>
      <c r="O383"/>
      <c r="P383"/>
      <c r="Q383"/>
    </row>
    <row r="384" spans="6:17" x14ac:dyDescent="0.3">
      <c r="F384"/>
      <c r="G384"/>
      <c r="H384"/>
      <c r="I384"/>
      <c r="J384"/>
      <c r="K384"/>
      <c r="L384"/>
      <c r="M384"/>
      <c r="N384"/>
      <c r="O384"/>
      <c r="P384"/>
      <c r="Q384"/>
    </row>
    <row r="385" spans="6:17" x14ac:dyDescent="0.3">
      <c r="F385"/>
      <c r="G385"/>
      <c r="H385"/>
      <c r="I385"/>
      <c r="J385"/>
      <c r="K385"/>
      <c r="L385"/>
      <c r="M385"/>
      <c r="N385"/>
      <c r="O385"/>
      <c r="P385"/>
      <c r="Q385"/>
    </row>
    <row r="386" spans="6:17" x14ac:dyDescent="0.3">
      <c r="F386"/>
      <c r="G386"/>
      <c r="H386"/>
      <c r="I386"/>
      <c r="J386"/>
      <c r="K386"/>
      <c r="L386"/>
      <c r="M386"/>
      <c r="N386"/>
      <c r="O386"/>
      <c r="P386"/>
      <c r="Q386"/>
    </row>
    <row r="387" spans="6:17" x14ac:dyDescent="0.3">
      <c r="F387"/>
      <c r="G387"/>
      <c r="H387"/>
      <c r="I387"/>
      <c r="J387"/>
      <c r="K387"/>
      <c r="L387"/>
      <c r="M387"/>
      <c r="N387"/>
      <c r="O387"/>
      <c r="P387"/>
      <c r="Q387"/>
    </row>
    <row r="388" spans="6:17" x14ac:dyDescent="0.3">
      <c r="F388"/>
      <c r="G388"/>
      <c r="H388"/>
      <c r="I388"/>
      <c r="J388"/>
      <c r="K388"/>
      <c r="L388"/>
      <c r="M388"/>
      <c r="N388"/>
      <c r="O388"/>
      <c r="P388"/>
      <c r="Q388"/>
    </row>
    <row r="389" spans="6:17" x14ac:dyDescent="0.3">
      <c r="F389"/>
      <c r="G389"/>
      <c r="H389"/>
      <c r="I389"/>
      <c r="J389"/>
      <c r="K389"/>
      <c r="L389"/>
      <c r="M389"/>
      <c r="N389"/>
      <c r="O389"/>
      <c r="P389"/>
      <c r="Q389"/>
    </row>
    <row r="390" spans="6:17" x14ac:dyDescent="0.3">
      <c r="F390"/>
      <c r="G390"/>
      <c r="H390"/>
      <c r="I390"/>
      <c r="J390"/>
      <c r="K390"/>
      <c r="L390"/>
      <c r="M390"/>
      <c r="N390"/>
      <c r="O390"/>
      <c r="P390"/>
      <c r="Q390"/>
    </row>
    <row r="391" spans="6:17" x14ac:dyDescent="0.3">
      <c r="F391"/>
      <c r="G391"/>
      <c r="H391"/>
      <c r="I391"/>
      <c r="J391"/>
      <c r="K391"/>
      <c r="L391"/>
      <c r="M391"/>
      <c r="N391"/>
      <c r="O391"/>
      <c r="P391"/>
      <c r="Q391"/>
    </row>
    <row r="392" spans="6:17" x14ac:dyDescent="0.3">
      <c r="F392"/>
      <c r="G392"/>
      <c r="H392"/>
      <c r="I392"/>
      <c r="J392"/>
      <c r="K392"/>
      <c r="L392"/>
      <c r="M392"/>
      <c r="N392"/>
      <c r="O392"/>
      <c r="P392"/>
      <c r="Q392"/>
    </row>
    <row r="393" spans="6:17" x14ac:dyDescent="0.3">
      <c r="F393"/>
      <c r="G393"/>
      <c r="H393"/>
      <c r="I393"/>
      <c r="J393"/>
      <c r="K393"/>
      <c r="L393"/>
      <c r="M393"/>
      <c r="N393"/>
      <c r="O393"/>
      <c r="P393"/>
      <c r="Q393"/>
    </row>
    <row r="394" spans="6:17" x14ac:dyDescent="0.3">
      <c r="F394"/>
      <c r="G394"/>
      <c r="H394"/>
      <c r="I394"/>
      <c r="J394"/>
      <c r="K394"/>
      <c r="L394"/>
      <c r="M394"/>
      <c r="N394"/>
      <c r="O394"/>
      <c r="P394"/>
      <c r="Q394"/>
    </row>
    <row r="395" spans="6:17" x14ac:dyDescent="0.3">
      <c r="F395"/>
      <c r="G395"/>
      <c r="H395"/>
      <c r="I395"/>
      <c r="J395"/>
      <c r="K395"/>
      <c r="L395"/>
      <c r="M395"/>
      <c r="N395"/>
      <c r="O395"/>
      <c r="P395"/>
      <c r="Q395"/>
    </row>
    <row r="396" spans="6:17" x14ac:dyDescent="0.3">
      <c r="F396"/>
      <c r="G396"/>
      <c r="H396"/>
      <c r="I396"/>
      <c r="J396"/>
      <c r="K396"/>
      <c r="L396"/>
      <c r="M396"/>
      <c r="N396"/>
      <c r="O396"/>
      <c r="P396"/>
      <c r="Q396"/>
    </row>
    <row r="397" spans="6:17" x14ac:dyDescent="0.3">
      <c r="F397"/>
      <c r="G397"/>
      <c r="H397"/>
      <c r="I397"/>
      <c r="J397"/>
      <c r="K397"/>
      <c r="L397"/>
      <c r="M397"/>
      <c r="N397"/>
      <c r="O397"/>
      <c r="P397"/>
      <c r="Q397"/>
    </row>
    <row r="398" spans="6:17" x14ac:dyDescent="0.3">
      <c r="F398"/>
      <c r="G398"/>
      <c r="H398"/>
      <c r="I398"/>
      <c r="J398"/>
      <c r="K398"/>
      <c r="L398"/>
      <c r="M398"/>
      <c r="N398"/>
      <c r="O398"/>
      <c r="P398"/>
      <c r="Q398"/>
    </row>
    <row r="399" spans="6:17" x14ac:dyDescent="0.3">
      <c r="F399"/>
      <c r="G399"/>
      <c r="H399"/>
      <c r="I399"/>
      <c r="J399"/>
      <c r="K399"/>
      <c r="L399"/>
      <c r="M399"/>
      <c r="N399"/>
      <c r="O399"/>
      <c r="P399"/>
      <c r="Q399"/>
    </row>
    <row r="400" spans="6:17" x14ac:dyDescent="0.3">
      <c r="F400"/>
      <c r="G400"/>
      <c r="H400"/>
      <c r="I400"/>
      <c r="J400"/>
      <c r="K400"/>
      <c r="L400"/>
      <c r="M400"/>
      <c r="N400"/>
      <c r="O400"/>
      <c r="P400"/>
      <c r="Q400"/>
    </row>
    <row r="401" spans="6:17" x14ac:dyDescent="0.3">
      <c r="F401"/>
      <c r="G401"/>
      <c r="H401"/>
      <c r="I401"/>
      <c r="J401"/>
      <c r="K401"/>
      <c r="L401"/>
      <c r="M401"/>
      <c r="N401"/>
      <c r="O401"/>
      <c r="P401"/>
      <c r="Q401"/>
    </row>
    <row r="402" spans="6:17" x14ac:dyDescent="0.3">
      <c r="F402"/>
      <c r="G402"/>
      <c r="H402"/>
      <c r="I402"/>
      <c r="J402"/>
      <c r="K402"/>
      <c r="L402"/>
      <c r="M402"/>
      <c r="N402"/>
      <c r="O402"/>
      <c r="P402"/>
      <c r="Q402"/>
    </row>
    <row r="403" spans="6:17" x14ac:dyDescent="0.3">
      <c r="F403"/>
      <c r="G403"/>
      <c r="H403"/>
      <c r="I403"/>
      <c r="J403"/>
      <c r="K403"/>
      <c r="L403"/>
      <c r="M403"/>
      <c r="N403"/>
      <c r="O403"/>
      <c r="P403"/>
      <c r="Q403"/>
    </row>
    <row r="404" spans="6:17" x14ac:dyDescent="0.3">
      <c r="F404"/>
      <c r="G404"/>
      <c r="H404"/>
      <c r="I404"/>
      <c r="J404"/>
      <c r="K404"/>
      <c r="L404"/>
      <c r="M404"/>
      <c r="N404"/>
      <c r="O404"/>
      <c r="P404"/>
      <c r="Q404"/>
    </row>
    <row r="405" spans="6:17" x14ac:dyDescent="0.3">
      <c r="F405"/>
      <c r="G405"/>
      <c r="H405"/>
      <c r="I405"/>
      <c r="J405"/>
      <c r="K405"/>
      <c r="L405"/>
      <c r="M405"/>
      <c r="N405"/>
      <c r="O405"/>
      <c r="P405"/>
      <c r="Q405"/>
    </row>
    <row r="406" spans="6:17" x14ac:dyDescent="0.3">
      <c r="F406"/>
      <c r="G406"/>
      <c r="H406"/>
      <c r="I406"/>
      <c r="J406"/>
      <c r="K406"/>
      <c r="L406"/>
      <c r="M406"/>
      <c r="N406"/>
      <c r="O406"/>
      <c r="P406"/>
      <c r="Q406"/>
    </row>
    <row r="407" spans="6:17" x14ac:dyDescent="0.3">
      <c r="F407"/>
      <c r="G407"/>
      <c r="H407"/>
      <c r="I407"/>
      <c r="J407"/>
      <c r="K407"/>
      <c r="L407"/>
      <c r="M407"/>
      <c r="N407"/>
      <c r="O407"/>
      <c r="P407"/>
      <c r="Q407"/>
    </row>
    <row r="408" spans="6:17" x14ac:dyDescent="0.3">
      <c r="F408"/>
      <c r="G408"/>
      <c r="H408"/>
      <c r="I408"/>
      <c r="J408"/>
      <c r="K408"/>
      <c r="L408"/>
      <c r="M408"/>
      <c r="N408"/>
      <c r="O408"/>
      <c r="P408"/>
      <c r="Q408"/>
    </row>
    <row r="409" spans="6:17" x14ac:dyDescent="0.3">
      <c r="F409"/>
      <c r="G409"/>
      <c r="H409"/>
      <c r="I409"/>
      <c r="J409"/>
      <c r="K409"/>
      <c r="L409"/>
      <c r="M409"/>
      <c r="N409"/>
      <c r="O409"/>
      <c r="P409"/>
      <c r="Q409"/>
    </row>
    <row r="410" spans="6:17" x14ac:dyDescent="0.3">
      <c r="F410"/>
      <c r="G410"/>
      <c r="H410"/>
      <c r="I410"/>
      <c r="J410"/>
      <c r="K410"/>
      <c r="L410"/>
      <c r="M410"/>
      <c r="N410"/>
      <c r="O410"/>
      <c r="P410"/>
      <c r="Q410"/>
    </row>
    <row r="411" spans="6:17" x14ac:dyDescent="0.3">
      <c r="F411"/>
      <c r="G411"/>
      <c r="H411"/>
      <c r="I411"/>
      <c r="J411"/>
      <c r="K411"/>
      <c r="L411"/>
      <c r="M411"/>
      <c r="N411"/>
      <c r="O411"/>
      <c r="P411"/>
      <c r="Q411"/>
    </row>
    <row r="412" spans="6:17" x14ac:dyDescent="0.3">
      <c r="F412"/>
      <c r="G412"/>
      <c r="H412"/>
      <c r="I412"/>
      <c r="J412"/>
      <c r="K412"/>
      <c r="L412"/>
      <c r="M412"/>
      <c r="N412"/>
      <c r="O412"/>
      <c r="P412"/>
      <c r="Q412"/>
    </row>
    <row r="413" spans="6:17" x14ac:dyDescent="0.3">
      <c r="F413"/>
      <c r="G413"/>
      <c r="H413"/>
      <c r="I413"/>
      <c r="J413"/>
      <c r="K413"/>
      <c r="L413"/>
      <c r="M413"/>
      <c r="N413"/>
      <c r="O413"/>
      <c r="P413"/>
      <c r="Q413"/>
    </row>
    <row r="414" spans="6:17" x14ac:dyDescent="0.3">
      <c r="F414"/>
      <c r="G414"/>
      <c r="H414"/>
      <c r="I414"/>
      <c r="J414"/>
      <c r="K414"/>
      <c r="L414"/>
      <c r="M414"/>
      <c r="N414"/>
      <c r="O414"/>
      <c r="P414"/>
      <c r="Q414"/>
    </row>
    <row r="415" spans="6:17" x14ac:dyDescent="0.3">
      <c r="F415"/>
      <c r="G415"/>
      <c r="H415"/>
      <c r="I415"/>
      <c r="J415"/>
      <c r="K415"/>
      <c r="L415"/>
      <c r="M415"/>
      <c r="N415"/>
      <c r="O415"/>
      <c r="P415"/>
      <c r="Q415"/>
    </row>
    <row r="416" spans="6:17" x14ac:dyDescent="0.3">
      <c r="F416"/>
      <c r="G416"/>
      <c r="H416"/>
      <c r="I416"/>
      <c r="J416"/>
      <c r="K416"/>
      <c r="L416"/>
      <c r="M416"/>
      <c r="N416"/>
      <c r="O416"/>
      <c r="P416"/>
      <c r="Q416"/>
    </row>
    <row r="417" spans="6:17" x14ac:dyDescent="0.3">
      <c r="F417"/>
      <c r="G417"/>
      <c r="H417"/>
      <c r="I417"/>
      <c r="J417"/>
      <c r="K417"/>
      <c r="L417"/>
      <c r="M417"/>
      <c r="N417"/>
      <c r="O417"/>
      <c r="P417"/>
      <c r="Q417"/>
    </row>
    <row r="418" spans="6:17" x14ac:dyDescent="0.3">
      <c r="F418"/>
      <c r="G418"/>
      <c r="H418"/>
      <c r="I418"/>
      <c r="J418"/>
      <c r="K418"/>
      <c r="L418"/>
      <c r="M418"/>
      <c r="N418"/>
      <c r="O418"/>
      <c r="P418"/>
      <c r="Q418"/>
    </row>
    <row r="419" spans="6:17" x14ac:dyDescent="0.3">
      <c r="F419"/>
      <c r="G419"/>
      <c r="H419"/>
      <c r="I419"/>
      <c r="J419"/>
      <c r="K419"/>
      <c r="L419"/>
      <c r="M419"/>
      <c r="N419"/>
      <c r="O419"/>
      <c r="P419"/>
      <c r="Q419"/>
    </row>
    <row r="420" spans="6:17" x14ac:dyDescent="0.3">
      <c r="F420"/>
      <c r="G420"/>
      <c r="H420"/>
      <c r="I420"/>
      <c r="J420"/>
      <c r="K420"/>
      <c r="L420"/>
      <c r="M420"/>
      <c r="N420"/>
      <c r="O420"/>
      <c r="P420"/>
      <c r="Q420"/>
    </row>
    <row r="421" spans="6:17" x14ac:dyDescent="0.3">
      <c r="F421"/>
      <c r="G421"/>
      <c r="H421"/>
      <c r="I421"/>
      <c r="J421"/>
      <c r="K421"/>
      <c r="L421"/>
      <c r="M421"/>
      <c r="N421"/>
      <c r="O421"/>
      <c r="P421"/>
      <c r="Q421"/>
    </row>
    <row r="422" spans="6:17" x14ac:dyDescent="0.3">
      <c r="F422"/>
      <c r="G422"/>
      <c r="H422"/>
      <c r="I422"/>
      <c r="J422"/>
      <c r="K422"/>
      <c r="L422"/>
      <c r="M422"/>
      <c r="N422"/>
      <c r="O422"/>
      <c r="P422"/>
      <c r="Q422"/>
    </row>
    <row r="423" spans="6:17" x14ac:dyDescent="0.3">
      <c r="F423"/>
      <c r="G423"/>
      <c r="H423"/>
      <c r="I423"/>
      <c r="J423"/>
      <c r="K423"/>
      <c r="L423"/>
      <c r="M423"/>
      <c r="N423"/>
      <c r="O423"/>
      <c r="P423"/>
      <c r="Q423"/>
    </row>
    <row r="424" spans="6:17" x14ac:dyDescent="0.3">
      <c r="F424"/>
      <c r="G424"/>
      <c r="H424"/>
      <c r="I424"/>
      <c r="J424"/>
      <c r="K424"/>
      <c r="L424"/>
      <c r="M424"/>
      <c r="N424"/>
      <c r="O424"/>
      <c r="P424"/>
      <c r="Q424"/>
    </row>
    <row r="425" spans="6:17" x14ac:dyDescent="0.3">
      <c r="F425"/>
      <c r="G425"/>
      <c r="H425"/>
      <c r="I425"/>
      <c r="J425"/>
      <c r="K425"/>
      <c r="L425"/>
      <c r="M425"/>
      <c r="N425"/>
      <c r="O425"/>
      <c r="P425"/>
      <c r="Q425"/>
    </row>
    <row r="426" spans="6:17" x14ac:dyDescent="0.3">
      <c r="F426"/>
      <c r="G426"/>
      <c r="H426"/>
      <c r="I426"/>
      <c r="J426"/>
      <c r="K426"/>
      <c r="L426"/>
      <c r="M426"/>
      <c r="N426"/>
      <c r="O426"/>
      <c r="P426"/>
      <c r="Q426"/>
    </row>
    <row r="427" spans="6:17" x14ac:dyDescent="0.3">
      <c r="F427"/>
      <c r="G427"/>
      <c r="H427"/>
      <c r="I427"/>
      <c r="J427"/>
      <c r="K427"/>
      <c r="L427"/>
      <c r="M427"/>
      <c r="N427"/>
      <c r="O427"/>
      <c r="P427"/>
      <c r="Q427"/>
    </row>
    <row r="428" spans="6:17" x14ac:dyDescent="0.3">
      <c r="F428"/>
      <c r="G428"/>
      <c r="H428"/>
      <c r="I428"/>
      <c r="J428"/>
      <c r="K428"/>
      <c r="L428"/>
      <c r="M428"/>
      <c r="N428"/>
      <c r="O428"/>
      <c r="P428"/>
      <c r="Q428"/>
    </row>
    <row r="429" spans="6:17" x14ac:dyDescent="0.3">
      <c r="F429"/>
      <c r="G429"/>
      <c r="H429"/>
      <c r="I429"/>
      <c r="J429"/>
      <c r="K429"/>
      <c r="L429"/>
      <c r="M429"/>
      <c r="N429"/>
      <c r="O429"/>
      <c r="P429"/>
      <c r="Q429"/>
    </row>
    <row r="430" spans="6:17" x14ac:dyDescent="0.3">
      <c r="F430"/>
      <c r="G430"/>
      <c r="H430"/>
      <c r="I430"/>
      <c r="J430"/>
      <c r="K430"/>
      <c r="L430"/>
      <c r="M430"/>
      <c r="N430"/>
      <c r="O430"/>
      <c r="P430"/>
      <c r="Q430"/>
    </row>
    <row r="431" spans="6:17" x14ac:dyDescent="0.3">
      <c r="F431"/>
      <c r="G431"/>
      <c r="H431"/>
      <c r="I431"/>
      <c r="J431"/>
      <c r="K431"/>
      <c r="L431"/>
      <c r="M431"/>
      <c r="N431"/>
      <c r="O431"/>
      <c r="P431"/>
      <c r="Q431"/>
    </row>
    <row r="432" spans="6:17" x14ac:dyDescent="0.3">
      <c r="F432"/>
      <c r="G432"/>
      <c r="H432"/>
      <c r="I432"/>
      <c r="J432"/>
      <c r="K432"/>
      <c r="L432"/>
      <c r="M432"/>
      <c r="N432"/>
      <c r="O432"/>
      <c r="P432"/>
      <c r="Q432"/>
    </row>
    <row r="433" spans="6:17" x14ac:dyDescent="0.3">
      <c r="F433"/>
      <c r="G433"/>
      <c r="H433"/>
      <c r="I433"/>
      <c r="J433"/>
      <c r="K433"/>
      <c r="L433"/>
      <c r="M433"/>
      <c r="N433"/>
      <c r="O433"/>
      <c r="P433"/>
      <c r="Q433"/>
    </row>
    <row r="434" spans="6:17" x14ac:dyDescent="0.3">
      <c r="F434"/>
      <c r="G434"/>
      <c r="H434"/>
      <c r="I434"/>
      <c r="J434"/>
      <c r="K434"/>
      <c r="L434"/>
      <c r="M434"/>
      <c r="N434"/>
      <c r="O434"/>
      <c r="P434"/>
      <c r="Q434"/>
    </row>
    <row r="435" spans="6:17" x14ac:dyDescent="0.3">
      <c r="F435"/>
      <c r="G435"/>
      <c r="H435"/>
      <c r="I435"/>
      <c r="J435"/>
      <c r="K435"/>
      <c r="L435"/>
      <c r="M435"/>
      <c r="N435"/>
      <c r="O435"/>
      <c r="P435"/>
      <c r="Q435"/>
    </row>
    <row r="436" spans="6:17" x14ac:dyDescent="0.3">
      <c r="F436"/>
      <c r="G436"/>
      <c r="H436"/>
      <c r="I436"/>
      <c r="J436"/>
      <c r="K436"/>
      <c r="L436"/>
      <c r="M436"/>
      <c r="N436"/>
      <c r="O436"/>
      <c r="P436"/>
      <c r="Q436"/>
    </row>
    <row r="437" spans="6:17" x14ac:dyDescent="0.3">
      <c r="F437"/>
      <c r="G437"/>
      <c r="H437"/>
      <c r="I437"/>
      <c r="J437"/>
      <c r="K437"/>
      <c r="L437"/>
      <c r="M437"/>
      <c r="N437"/>
      <c r="O437"/>
      <c r="P437"/>
      <c r="Q437"/>
    </row>
    <row r="438" spans="6:17" x14ac:dyDescent="0.3">
      <c r="F438"/>
      <c r="G438"/>
      <c r="H438"/>
      <c r="I438"/>
      <c r="J438"/>
      <c r="K438"/>
      <c r="L438"/>
      <c r="M438"/>
      <c r="N438"/>
      <c r="O438"/>
      <c r="P438"/>
      <c r="Q438"/>
    </row>
    <row r="439" spans="6:17" x14ac:dyDescent="0.3">
      <c r="F439"/>
      <c r="G439"/>
      <c r="H439"/>
      <c r="I439"/>
      <c r="J439"/>
      <c r="K439"/>
      <c r="L439"/>
      <c r="M439"/>
      <c r="N439"/>
      <c r="O439"/>
      <c r="P439"/>
      <c r="Q439"/>
    </row>
    <row r="440" spans="6:17" x14ac:dyDescent="0.3">
      <c r="F440"/>
      <c r="G440"/>
      <c r="H440"/>
      <c r="I440"/>
      <c r="J440"/>
      <c r="K440"/>
      <c r="L440"/>
      <c r="M440"/>
      <c r="N440"/>
      <c r="O440"/>
      <c r="P440"/>
      <c r="Q440"/>
    </row>
    <row r="441" spans="6:17" x14ac:dyDescent="0.3">
      <c r="F441"/>
      <c r="G441"/>
      <c r="H441"/>
      <c r="I441"/>
      <c r="J441"/>
      <c r="K441"/>
      <c r="L441"/>
      <c r="M441"/>
      <c r="N441"/>
      <c r="O441"/>
      <c r="P441"/>
      <c r="Q441"/>
    </row>
    <row r="442" spans="6:17" x14ac:dyDescent="0.3">
      <c r="F442"/>
      <c r="G442"/>
      <c r="H442"/>
      <c r="I442"/>
      <c r="J442"/>
      <c r="K442"/>
      <c r="L442"/>
      <c r="M442"/>
      <c r="N442"/>
      <c r="O442"/>
      <c r="P442"/>
      <c r="Q442"/>
    </row>
    <row r="443" spans="6:17" x14ac:dyDescent="0.3">
      <c r="F443"/>
      <c r="G443"/>
      <c r="H443"/>
      <c r="I443"/>
      <c r="J443"/>
      <c r="K443"/>
      <c r="L443"/>
      <c r="M443"/>
      <c r="N443"/>
      <c r="O443"/>
      <c r="P443"/>
      <c r="Q443"/>
    </row>
    <row r="444" spans="6:17" x14ac:dyDescent="0.3">
      <c r="F444"/>
      <c r="G444"/>
      <c r="H444"/>
      <c r="I444"/>
      <c r="J444"/>
      <c r="K444"/>
      <c r="L444"/>
      <c r="M444"/>
      <c r="N444"/>
      <c r="O444"/>
      <c r="P444"/>
      <c r="Q444"/>
    </row>
    <row r="445" spans="6:17" x14ac:dyDescent="0.3">
      <c r="F445"/>
      <c r="G445"/>
      <c r="H445"/>
      <c r="I445"/>
      <c r="J445"/>
      <c r="K445"/>
      <c r="L445"/>
      <c r="M445"/>
      <c r="N445"/>
      <c r="O445"/>
      <c r="P445"/>
      <c r="Q445"/>
    </row>
    <row r="446" spans="6:17" x14ac:dyDescent="0.3">
      <c r="F446"/>
      <c r="G446"/>
      <c r="H446"/>
      <c r="I446"/>
      <c r="J446"/>
      <c r="K446"/>
      <c r="L446"/>
      <c r="M446"/>
      <c r="N446"/>
      <c r="O446"/>
      <c r="P446"/>
      <c r="Q446"/>
    </row>
    <row r="447" spans="6:17" x14ac:dyDescent="0.3">
      <c r="F447"/>
      <c r="G447"/>
      <c r="H447"/>
      <c r="I447"/>
      <c r="J447"/>
      <c r="K447"/>
      <c r="L447"/>
      <c r="M447"/>
      <c r="N447"/>
      <c r="O447"/>
      <c r="P447"/>
      <c r="Q447"/>
    </row>
    <row r="448" spans="6:17" x14ac:dyDescent="0.3">
      <c r="F448"/>
      <c r="G448"/>
      <c r="H448"/>
      <c r="I448"/>
      <c r="J448"/>
      <c r="K448"/>
      <c r="L448"/>
      <c r="M448"/>
      <c r="N448"/>
      <c r="O448"/>
      <c r="P448"/>
      <c r="Q448"/>
    </row>
    <row r="449" spans="6:17" x14ac:dyDescent="0.3">
      <c r="F449"/>
      <c r="G449"/>
      <c r="H449"/>
      <c r="I449"/>
      <c r="J449"/>
      <c r="K449"/>
      <c r="L449"/>
      <c r="M449"/>
      <c r="N449"/>
      <c r="O449"/>
      <c r="P449"/>
      <c r="Q449"/>
    </row>
    <row r="450" spans="6:17" x14ac:dyDescent="0.3">
      <c r="F450"/>
      <c r="G450"/>
      <c r="H450"/>
      <c r="I450"/>
      <c r="J450"/>
      <c r="K450"/>
      <c r="L450"/>
      <c r="M450"/>
      <c r="N450"/>
      <c r="O450"/>
      <c r="P450"/>
      <c r="Q450"/>
    </row>
    <row r="451" spans="6:17" x14ac:dyDescent="0.3">
      <c r="F451"/>
      <c r="G451"/>
      <c r="H451"/>
      <c r="I451"/>
      <c r="J451"/>
      <c r="K451"/>
      <c r="L451"/>
      <c r="M451"/>
      <c r="N451"/>
      <c r="O451"/>
      <c r="P451"/>
      <c r="Q451"/>
    </row>
    <row r="452" spans="6:17" x14ac:dyDescent="0.3">
      <c r="F452"/>
      <c r="G452"/>
      <c r="H452"/>
      <c r="I452"/>
      <c r="J452"/>
      <c r="K452"/>
      <c r="L452"/>
      <c r="M452"/>
      <c r="N452"/>
      <c r="O452"/>
      <c r="P452"/>
      <c r="Q452"/>
    </row>
    <row r="453" spans="6:17" x14ac:dyDescent="0.3">
      <c r="F453"/>
      <c r="G453"/>
      <c r="H453"/>
      <c r="I453"/>
      <c r="J453"/>
      <c r="K453"/>
      <c r="L453"/>
      <c r="M453"/>
      <c r="N453"/>
      <c r="O453"/>
      <c r="P453"/>
      <c r="Q453"/>
    </row>
    <row r="454" spans="6:17" x14ac:dyDescent="0.3">
      <c r="F454"/>
      <c r="G454"/>
      <c r="H454"/>
      <c r="I454"/>
      <c r="J454"/>
      <c r="K454"/>
      <c r="L454"/>
      <c r="M454"/>
      <c r="N454"/>
      <c r="O454"/>
      <c r="P454"/>
      <c r="Q454"/>
    </row>
    <row r="455" spans="6:17" x14ac:dyDescent="0.3">
      <c r="F455"/>
      <c r="G455"/>
      <c r="H455"/>
      <c r="I455"/>
      <c r="J455"/>
      <c r="K455"/>
      <c r="L455"/>
      <c r="M455"/>
      <c r="N455"/>
      <c r="O455"/>
      <c r="P455"/>
      <c r="Q455"/>
    </row>
    <row r="456" spans="6:17" x14ac:dyDescent="0.3">
      <c r="F456"/>
      <c r="G456"/>
      <c r="H456"/>
      <c r="I456"/>
      <c r="J456"/>
      <c r="K456"/>
      <c r="L456"/>
      <c r="M456"/>
      <c r="N456"/>
      <c r="O456"/>
      <c r="P456"/>
      <c r="Q456"/>
    </row>
    <row r="457" spans="6:17" x14ac:dyDescent="0.3">
      <c r="F457"/>
      <c r="G457"/>
      <c r="H457"/>
      <c r="I457"/>
      <c r="J457"/>
      <c r="K457"/>
      <c r="L457"/>
      <c r="M457"/>
      <c r="N457"/>
      <c r="O457"/>
      <c r="P457"/>
      <c r="Q457"/>
    </row>
    <row r="458" spans="6:17" x14ac:dyDescent="0.3">
      <c r="F458"/>
      <c r="G458"/>
      <c r="H458"/>
      <c r="I458"/>
      <c r="J458"/>
      <c r="K458"/>
      <c r="L458"/>
      <c r="M458"/>
      <c r="N458"/>
      <c r="O458"/>
      <c r="P458"/>
      <c r="Q458"/>
    </row>
    <row r="459" spans="6:17" x14ac:dyDescent="0.3">
      <c r="F459"/>
      <c r="G459"/>
      <c r="H459"/>
      <c r="I459"/>
      <c r="J459"/>
      <c r="K459"/>
      <c r="L459"/>
      <c r="M459"/>
      <c r="N459"/>
      <c r="O459"/>
      <c r="P459"/>
      <c r="Q459"/>
    </row>
    <row r="460" spans="6:17" x14ac:dyDescent="0.3">
      <c r="F460"/>
      <c r="G460"/>
      <c r="H460"/>
      <c r="I460"/>
      <c r="J460"/>
      <c r="K460"/>
      <c r="L460"/>
      <c r="M460"/>
      <c r="N460"/>
      <c r="O460"/>
      <c r="P460"/>
      <c r="Q460"/>
    </row>
    <row r="461" spans="6:17" x14ac:dyDescent="0.3">
      <c r="F461"/>
      <c r="G461"/>
      <c r="H461"/>
      <c r="I461"/>
      <c r="J461"/>
      <c r="K461"/>
      <c r="L461"/>
      <c r="M461"/>
      <c r="N461"/>
      <c r="O461"/>
      <c r="P461"/>
      <c r="Q461"/>
    </row>
    <row r="462" spans="6:17" x14ac:dyDescent="0.3">
      <c r="F462"/>
      <c r="G462"/>
      <c r="H462"/>
      <c r="I462"/>
      <c r="J462"/>
      <c r="K462"/>
      <c r="L462"/>
      <c r="M462"/>
      <c r="N462"/>
      <c r="O462"/>
      <c r="P462"/>
      <c r="Q462"/>
    </row>
    <row r="463" spans="6:17" x14ac:dyDescent="0.3">
      <c r="F463"/>
      <c r="G463"/>
      <c r="H463"/>
      <c r="I463"/>
      <c r="J463"/>
      <c r="K463"/>
      <c r="L463"/>
      <c r="M463"/>
      <c r="N463"/>
      <c r="O463"/>
      <c r="P463"/>
      <c r="Q463"/>
    </row>
    <row r="464" spans="6:17" x14ac:dyDescent="0.3">
      <c r="F464"/>
      <c r="G464"/>
      <c r="H464"/>
      <c r="I464"/>
      <c r="J464"/>
      <c r="K464"/>
      <c r="L464"/>
      <c r="M464"/>
      <c r="N464"/>
      <c r="O464"/>
      <c r="P464"/>
      <c r="Q464"/>
    </row>
    <row r="465" spans="6:17" x14ac:dyDescent="0.3">
      <c r="F465"/>
      <c r="G465"/>
      <c r="H465"/>
      <c r="I465"/>
      <c r="J465"/>
      <c r="K465"/>
      <c r="L465"/>
      <c r="M465"/>
      <c r="N465"/>
      <c r="O465"/>
      <c r="P465"/>
      <c r="Q465"/>
    </row>
    <row r="466" spans="6:17" x14ac:dyDescent="0.3">
      <c r="F466"/>
      <c r="G466"/>
      <c r="H466"/>
      <c r="I466"/>
      <c r="J466"/>
      <c r="K466"/>
      <c r="L466"/>
      <c r="M466"/>
      <c r="N466"/>
      <c r="O466"/>
      <c r="P466"/>
      <c r="Q466"/>
    </row>
    <row r="467" spans="6:17" x14ac:dyDescent="0.3">
      <c r="F467"/>
      <c r="G467"/>
      <c r="H467"/>
      <c r="I467"/>
      <c r="J467"/>
      <c r="K467"/>
      <c r="L467"/>
      <c r="M467"/>
      <c r="N467"/>
      <c r="O467"/>
      <c r="P467"/>
      <c r="Q467"/>
    </row>
    <row r="468" spans="6:17" x14ac:dyDescent="0.3">
      <c r="F468"/>
      <c r="G468"/>
      <c r="H468"/>
      <c r="I468"/>
      <c r="J468"/>
      <c r="K468"/>
      <c r="L468"/>
      <c r="M468"/>
      <c r="N468"/>
      <c r="O468"/>
      <c r="P468"/>
      <c r="Q468"/>
    </row>
    <row r="469" spans="6:17" x14ac:dyDescent="0.3">
      <c r="F469"/>
      <c r="G469"/>
      <c r="H469"/>
      <c r="I469"/>
      <c r="J469"/>
      <c r="K469"/>
      <c r="L469"/>
      <c r="M469"/>
      <c r="N469"/>
      <c r="O469"/>
      <c r="P469"/>
      <c r="Q469"/>
    </row>
    <row r="470" spans="6:17" x14ac:dyDescent="0.3">
      <c r="F470"/>
      <c r="G470"/>
      <c r="H470"/>
      <c r="I470"/>
      <c r="J470"/>
      <c r="K470"/>
      <c r="L470"/>
      <c r="M470"/>
      <c r="N470"/>
      <c r="O470"/>
      <c r="P470"/>
      <c r="Q470"/>
    </row>
    <row r="471" spans="6:17" x14ac:dyDescent="0.3">
      <c r="F471"/>
      <c r="G471"/>
      <c r="H471"/>
      <c r="I471"/>
      <c r="J471"/>
      <c r="K471"/>
      <c r="L471"/>
      <c r="M471"/>
      <c r="N471"/>
      <c r="O471"/>
      <c r="P471"/>
      <c r="Q471"/>
    </row>
    <row r="472" spans="6:17" x14ac:dyDescent="0.3">
      <c r="F472"/>
      <c r="G472"/>
      <c r="H472"/>
      <c r="I472"/>
      <c r="J472"/>
      <c r="K472"/>
      <c r="L472"/>
      <c r="M472"/>
      <c r="N472"/>
      <c r="O472"/>
      <c r="P472"/>
      <c r="Q472"/>
    </row>
    <row r="473" spans="6:17" x14ac:dyDescent="0.3">
      <c r="F473"/>
      <c r="G473"/>
      <c r="H473"/>
      <c r="I473"/>
      <c r="J473"/>
      <c r="K473"/>
      <c r="L473"/>
      <c r="M473"/>
      <c r="N473"/>
      <c r="O473"/>
      <c r="P473"/>
      <c r="Q473"/>
    </row>
    <row r="474" spans="6:17" x14ac:dyDescent="0.3">
      <c r="F474"/>
      <c r="G474"/>
      <c r="H474"/>
      <c r="I474"/>
      <c r="J474"/>
      <c r="K474"/>
      <c r="L474"/>
      <c r="M474"/>
      <c r="N474"/>
      <c r="O474"/>
      <c r="P474"/>
      <c r="Q474"/>
    </row>
    <row r="475" spans="6:17" x14ac:dyDescent="0.3">
      <c r="F475"/>
      <c r="G475"/>
      <c r="H475"/>
      <c r="I475"/>
      <c r="J475"/>
      <c r="K475"/>
      <c r="L475"/>
      <c r="M475"/>
      <c r="N475"/>
      <c r="O475"/>
      <c r="P475"/>
      <c r="Q475"/>
    </row>
    <row r="476" spans="6:17" x14ac:dyDescent="0.3">
      <c r="F476"/>
      <c r="G476"/>
      <c r="H476"/>
      <c r="I476"/>
      <c r="J476"/>
      <c r="K476"/>
      <c r="L476"/>
      <c r="M476"/>
      <c r="N476"/>
      <c r="O476"/>
      <c r="P476"/>
      <c r="Q476"/>
    </row>
    <row r="477" spans="6:17" x14ac:dyDescent="0.3">
      <c r="F477"/>
      <c r="G477"/>
      <c r="H477"/>
      <c r="I477"/>
      <c r="J477"/>
      <c r="K477"/>
      <c r="L477"/>
      <c r="M477"/>
      <c r="N477"/>
      <c r="O477"/>
      <c r="P477"/>
      <c r="Q477"/>
    </row>
    <row r="478" spans="6:17" x14ac:dyDescent="0.3">
      <c r="F478"/>
      <c r="G478"/>
      <c r="H478"/>
      <c r="I478"/>
      <c r="J478"/>
      <c r="K478"/>
      <c r="L478"/>
      <c r="M478"/>
      <c r="N478"/>
      <c r="O478"/>
      <c r="P478"/>
      <c r="Q478"/>
    </row>
    <row r="479" spans="6:17" x14ac:dyDescent="0.3">
      <c r="F479"/>
      <c r="G479"/>
      <c r="H479"/>
      <c r="I479"/>
      <c r="J479"/>
      <c r="K479"/>
      <c r="L479"/>
      <c r="M479"/>
      <c r="N479"/>
      <c r="O479"/>
      <c r="P479"/>
      <c r="Q479"/>
    </row>
    <row r="480" spans="6:17" x14ac:dyDescent="0.3">
      <c r="F480"/>
      <c r="G480"/>
      <c r="H480"/>
      <c r="I480"/>
      <c r="J480"/>
      <c r="K480"/>
      <c r="L480"/>
      <c r="M480"/>
      <c r="N480"/>
      <c r="O480"/>
      <c r="P480"/>
      <c r="Q480"/>
    </row>
    <row r="481" spans="6:17" x14ac:dyDescent="0.3">
      <c r="F481"/>
      <c r="G481"/>
      <c r="H481"/>
      <c r="I481"/>
      <c r="J481"/>
      <c r="K481"/>
      <c r="L481"/>
      <c r="M481"/>
      <c r="N481"/>
      <c r="O481"/>
      <c r="P481"/>
      <c r="Q481"/>
    </row>
    <row r="482" spans="6:17" x14ac:dyDescent="0.3">
      <c r="F482"/>
      <c r="G482"/>
      <c r="H482"/>
      <c r="I482"/>
      <c r="J482"/>
      <c r="K482"/>
      <c r="L482"/>
      <c r="M482"/>
      <c r="N482"/>
      <c r="O482"/>
      <c r="P482"/>
      <c r="Q482"/>
    </row>
    <row r="483" spans="6:17" x14ac:dyDescent="0.3">
      <c r="F483"/>
      <c r="G483"/>
      <c r="H483"/>
      <c r="I483"/>
      <c r="J483"/>
      <c r="K483"/>
      <c r="L483"/>
      <c r="M483"/>
      <c r="N483"/>
      <c r="O483"/>
      <c r="P483"/>
      <c r="Q483"/>
    </row>
    <row r="484" spans="6:17" x14ac:dyDescent="0.3">
      <c r="F484"/>
      <c r="G484"/>
      <c r="H484"/>
      <c r="I484"/>
      <c r="J484"/>
      <c r="K484"/>
      <c r="L484"/>
      <c r="M484"/>
      <c r="N484"/>
      <c r="O484"/>
      <c r="P484"/>
      <c r="Q484"/>
    </row>
    <row r="485" spans="6:17" x14ac:dyDescent="0.3">
      <c r="F485"/>
      <c r="G485"/>
      <c r="H485"/>
      <c r="I485"/>
      <c r="J485"/>
      <c r="K485"/>
      <c r="L485"/>
      <c r="M485"/>
      <c r="N485"/>
      <c r="O485"/>
      <c r="P485"/>
      <c r="Q485"/>
    </row>
    <row r="486" spans="6:17" x14ac:dyDescent="0.3">
      <c r="F486"/>
      <c r="G486"/>
      <c r="H486"/>
      <c r="I486"/>
      <c r="J486"/>
      <c r="K486"/>
      <c r="L486"/>
      <c r="M486"/>
      <c r="N486"/>
      <c r="O486"/>
      <c r="P486"/>
      <c r="Q486"/>
    </row>
    <row r="487" spans="6:17" x14ac:dyDescent="0.3">
      <c r="F487"/>
      <c r="G487"/>
      <c r="H487"/>
      <c r="I487"/>
      <c r="J487"/>
      <c r="K487"/>
      <c r="L487"/>
      <c r="M487"/>
      <c r="N487"/>
      <c r="O487"/>
      <c r="P487"/>
      <c r="Q487"/>
    </row>
    <row r="488" spans="6:17" x14ac:dyDescent="0.3">
      <c r="F488"/>
      <c r="G488"/>
      <c r="H488"/>
      <c r="I488"/>
      <c r="J488"/>
      <c r="K488"/>
      <c r="L488"/>
      <c r="M488"/>
      <c r="N488"/>
      <c r="O488"/>
      <c r="P488"/>
      <c r="Q488"/>
    </row>
    <row r="489" spans="6:17" x14ac:dyDescent="0.3">
      <c r="F489"/>
      <c r="G489"/>
      <c r="H489"/>
      <c r="I489"/>
      <c r="J489"/>
      <c r="K489"/>
      <c r="L489"/>
      <c r="M489"/>
      <c r="N489"/>
      <c r="O489"/>
      <c r="P489"/>
      <c r="Q489"/>
    </row>
    <row r="490" spans="6:17" x14ac:dyDescent="0.3">
      <c r="F490"/>
      <c r="G490"/>
      <c r="H490"/>
      <c r="I490"/>
      <c r="J490"/>
      <c r="K490"/>
      <c r="L490"/>
      <c r="M490"/>
      <c r="N490"/>
      <c r="O490"/>
      <c r="P490"/>
      <c r="Q490"/>
    </row>
    <row r="491" spans="6:17" x14ac:dyDescent="0.3">
      <c r="F491"/>
      <c r="G491"/>
      <c r="H491"/>
      <c r="I491"/>
      <c r="J491"/>
      <c r="K491"/>
      <c r="L491"/>
      <c r="M491"/>
      <c r="N491"/>
      <c r="O491"/>
      <c r="P491"/>
      <c r="Q491"/>
    </row>
    <row r="492" spans="6:17" x14ac:dyDescent="0.3">
      <c r="F492"/>
      <c r="G492"/>
      <c r="H492"/>
      <c r="I492"/>
      <c r="J492"/>
      <c r="K492"/>
      <c r="L492"/>
      <c r="M492"/>
      <c r="N492"/>
      <c r="O492"/>
      <c r="P492"/>
      <c r="Q492"/>
    </row>
    <row r="493" spans="6:17" x14ac:dyDescent="0.3">
      <c r="F493"/>
      <c r="G493"/>
      <c r="H493"/>
      <c r="I493"/>
      <c r="J493"/>
      <c r="K493"/>
      <c r="L493"/>
      <c r="M493"/>
      <c r="N493"/>
      <c r="O493"/>
      <c r="P493"/>
      <c r="Q493"/>
    </row>
    <row r="494" spans="6:17" x14ac:dyDescent="0.3">
      <c r="F494"/>
      <c r="G494"/>
      <c r="H494"/>
      <c r="I494"/>
      <c r="J494"/>
      <c r="K494"/>
      <c r="L494"/>
      <c r="M494"/>
      <c r="N494"/>
      <c r="O494"/>
      <c r="P494"/>
      <c r="Q494"/>
    </row>
    <row r="495" spans="6:17" x14ac:dyDescent="0.3">
      <c r="F495"/>
      <c r="G495"/>
      <c r="H495"/>
      <c r="I495"/>
      <c r="J495"/>
      <c r="K495"/>
      <c r="L495"/>
      <c r="M495"/>
      <c r="N495"/>
      <c r="O495"/>
      <c r="P495"/>
      <c r="Q495"/>
    </row>
    <row r="496" spans="6:17" x14ac:dyDescent="0.3">
      <c r="F496"/>
      <c r="G496"/>
      <c r="H496"/>
      <c r="I496"/>
      <c r="J496"/>
      <c r="K496"/>
      <c r="L496"/>
      <c r="M496"/>
      <c r="N496"/>
      <c r="O496"/>
      <c r="P496"/>
      <c r="Q496"/>
    </row>
    <row r="497" spans="6:17" x14ac:dyDescent="0.3">
      <c r="F497"/>
      <c r="G497"/>
      <c r="H497"/>
      <c r="I497"/>
      <c r="J497"/>
      <c r="K497"/>
      <c r="L497"/>
      <c r="M497"/>
      <c r="N497"/>
      <c r="O497"/>
      <c r="P497"/>
      <c r="Q497"/>
    </row>
    <row r="498" spans="6:17" x14ac:dyDescent="0.3">
      <c r="F498"/>
      <c r="G498"/>
      <c r="H498"/>
      <c r="I498"/>
      <c r="J498"/>
      <c r="K498"/>
      <c r="L498"/>
      <c r="M498"/>
      <c r="N498"/>
      <c r="O498"/>
      <c r="P498"/>
      <c r="Q498"/>
    </row>
    <row r="499" spans="6:17" x14ac:dyDescent="0.3">
      <c r="F499"/>
      <c r="G499"/>
      <c r="H499"/>
      <c r="I499"/>
      <c r="J499"/>
      <c r="K499"/>
      <c r="L499"/>
      <c r="M499"/>
      <c r="N499"/>
      <c r="O499"/>
      <c r="P499"/>
      <c r="Q499"/>
    </row>
    <row r="500" spans="6:17" x14ac:dyDescent="0.3">
      <c r="F500"/>
      <c r="G500"/>
      <c r="H500"/>
      <c r="I500"/>
      <c r="J500"/>
      <c r="K500"/>
      <c r="L500"/>
      <c r="M500"/>
      <c r="N500"/>
      <c r="O500"/>
      <c r="P500"/>
      <c r="Q500"/>
    </row>
    <row r="501" spans="6:17" x14ac:dyDescent="0.3">
      <c r="F501"/>
      <c r="G501"/>
      <c r="H501"/>
      <c r="I501"/>
      <c r="J501"/>
      <c r="K501"/>
      <c r="L501"/>
      <c r="M501"/>
      <c r="N501"/>
      <c r="O501"/>
      <c r="P501"/>
      <c r="Q501"/>
    </row>
    <row r="502" spans="6:17" x14ac:dyDescent="0.3">
      <c r="F502"/>
      <c r="G502"/>
      <c r="H502"/>
      <c r="I502"/>
      <c r="J502"/>
      <c r="K502"/>
      <c r="L502"/>
      <c r="M502"/>
      <c r="N502"/>
      <c r="O502"/>
      <c r="P502"/>
      <c r="Q502"/>
    </row>
    <row r="503" spans="6:17" x14ac:dyDescent="0.3">
      <c r="F503"/>
      <c r="G503"/>
      <c r="H503"/>
      <c r="I503"/>
      <c r="J503"/>
      <c r="K503"/>
      <c r="L503"/>
      <c r="M503"/>
      <c r="N503"/>
      <c r="O503"/>
      <c r="P503"/>
      <c r="Q503"/>
    </row>
    <row r="504" spans="6:17" x14ac:dyDescent="0.3">
      <c r="F504"/>
      <c r="G504"/>
      <c r="H504"/>
      <c r="I504"/>
      <c r="J504"/>
      <c r="K504"/>
      <c r="L504"/>
      <c r="M504"/>
      <c r="N504"/>
      <c r="O504"/>
      <c r="P504"/>
      <c r="Q504"/>
    </row>
    <row r="505" spans="6:17" x14ac:dyDescent="0.3">
      <c r="F505"/>
      <c r="G505"/>
      <c r="H505"/>
      <c r="I505"/>
      <c r="J505"/>
      <c r="K505"/>
      <c r="L505"/>
      <c r="M505"/>
      <c r="N505"/>
      <c r="O505"/>
      <c r="P505"/>
      <c r="Q505"/>
    </row>
    <row r="506" spans="6:17" x14ac:dyDescent="0.3">
      <c r="F506"/>
      <c r="G506"/>
      <c r="H506"/>
      <c r="I506"/>
      <c r="J506"/>
      <c r="K506"/>
      <c r="L506"/>
      <c r="M506"/>
      <c r="N506"/>
      <c r="O506"/>
      <c r="P506"/>
      <c r="Q506"/>
    </row>
    <row r="507" spans="6:17" x14ac:dyDescent="0.3">
      <c r="F507"/>
      <c r="G507"/>
      <c r="H507"/>
      <c r="I507"/>
      <c r="J507"/>
      <c r="K507"/>
      <c r="L507"/>
      <c r="M507"/>
      <c r="N507"/>
      <c r="O507"/>
      <c r="P507"/>
      <c r="Q507"/>
    </row>
    <row r="508" spans="6:17" x14ac:dyDescent="0.3">
      <c r="F508"/>
      <c r="G508"/>
      <c r="H508"/>
      <c r="I508"/>
      <c r="J508"/>
      <c r="K508"/>
      <c r="L508"/>
      <c r="M508"/>
      <c r="N508"/>
      <c r="O508"/>
      <c r="P508"/>
      <c r="Q508"/>
    </row>
    <row r="509" spans="6:17" x14ac:dyDescent="0.3">
      <c r="F509"/>
      <c r="G509"/>
      <c r="H509"/>
      <c r="I509"/>
      <c r="J509"/>
      <c r="K509"/>
      <c r="L509"/>
      <c r="M509"/>
      <c r="N509"/>
      <c r="O509"/>
      <c r="P509"/>
      <c r="Q509"/>
    </row>
    <row r="510" spans="6:17" x14ac:dyDescent="0.3">
      <c r="F510"/>
      <c r="G510"/>
      <c r="H510"/>
      <c r="I510"/>
      <c r="J510"/>
      <c r="K510"/>
      <c r="L510"/>
      <c r="M510"/>
      <c r="N510"/>
      <c r="O510"/>
      <c r="P510"/>
      <c r="Q510"/>
    </row>
    <row r="511" spans="6:17" x14ac:dyDescent="0.3">
      <c r="F511"/>
      <c r="G511"/>
      <c r="H511"/>
      <c r="I511"/>
      <c r="J511"/>
      <c r="K511"/>
      <c r="L511"/>
      <c r="M511"/>
      <c r="N511"/>
      <c r="O511"/>
      <c r="P511"/>
      <c r="Q511"/>
    </row>
    <row r="512" spans="6:17" x14ac:dyDescent="0.3">
      <c r="F512"/>
      <c r="G512"/>
      <c r="H512"/>
      <c r="I512"/>
      <c r="J512"/>
      <c r="K512"/>
      <c r="L512"/>
      <c r="M512"/>
      <c r="N512"/>
      <c r="O512"/>
      <c r="P512"/>
      <c r="Q512"/>
    </row>
    <row r="513" spans="6:17" x14ac:dyDescent="0.3">
      <c r="F513"/>
      <c r="G513"/>
      <c r="H513"/>
      <c r="I513"/>
      <c r="J513"/>
      <c r="K513"/>
      <c r="L513"/>
      <c r="M513"/>
      <c r="N513"/>
      <c r="O513"/>
      <c r="P513"/>
      <c r="Q513"/>
    </row>
    <row r="514" spans="6:17" x14ac:dyDescent="0.3">
      <c r="F514"/>
      <c r="G514"/>
      <c r="H514"/>
      <c r="I514"/>
      <c r="J514"/>
      <c r="K514"/>
      <c r="L514"/>
      <c r="M514"/>
      <c r="N514"/>
      <c r="O514"/>
      <c r="P514"/>
      <c r="Q514"/>
    </row>
    <row r="515" spans="6:17" x14ac:dyDescent="0.3">
      <c r="F515"/>
      <c r="G515"/>
      <c r="H515"/>
      <c r="I515"/>
      <c r="J515"/>
      <c r="K515"/>
      <c r="L515"/>
      <c r="M515"/>
      <c r="N515"/>
      <c r="O515"/>
      <c r="P515"/>
      <c r="Q515"/>
    </row>
    <row r="516" spans="6:17" x14ac:dyDescent="0.3">
      <c r="F516"/>
      <c r="G516"/>
      <c r="H516"/>
      <c r="I516"/>
      <c r="J516"/>
      <c r="K516"/>
      <c r="L516"/>
      <c r="M516"/>
      <c r="N516"/>
      <c r="O516"/>
      <c r="P516"/>
      <c r="Q516"/>
    </row>
    <row r="517" spans="6:17" x14ac:dyDescent="0.3">
      <c r="F517"/>
      <c r="G517"/>
      <c r="H517"/>
      <c r="I517"/>
      <c r="J517"/>
      <c r="K517"/>
      <c r="L517"/>
      <c r="M517"/>
      <c r="N517"/>
      <c r="O517"/>
      <c r="P517"/>
      <c r="Q517"/>
    </row>
    <row r="518" spans="6:17" x14ac:dyDescent="0.3">
      <c r="F518"/>
      <c r="G518"/>
      <c r="H518"/>
      <c r="I518"/>
      <c r="J518"/>
      <c r="K518"/>
      <c r="L518"/>
      <c r="M518"/>
      <c r="N518"/>
      <c r="O518"/>
      <c r="P518"/>
      <c r="Q518"/>
    </row>
    <row r="519" spans="6:17" x14ac:dyDescent="0.3">
      <c r="F519"/>
      <c r="G519"/>
      <c r="H519"/>
      <c r="I519"/>
      <c r="J519"/>
      <c r="K519"/>
      <c r="L519"/>
      <c r="M519"/>
      <c r="N519"/>
      <c r="O519"/>
      <c r="P519"/>
      <c r="Q519"/>
    </row>
    <row r="520" spans="6:17" x14ac:dyDescent="0.3">
      <c r="F520"/>
      <c r="G520"/>
      <c r="H520"/>
      <c r="I520"/>
      <c r="J520"/>
      <c r="K520"/>
      <c r="L520"/>
      <c r="M520"/>
      <c r="N520"/>
      <c r="O520"/>
      <c r="P520"/>
      <c r="Q520"/>
    </row>
    <row r="521" spans="6:17" x14ac:dyDescent="0.3">
      <c r="F521"/>
      <c r="G521"/>
      <c r="H521"/>
      <c r="I521"/>
      <c r="J521"/>
      <c r="K521"/>
      <c r="L521"/>
      <c r="M521"/>
      <c r="N521"/>
      <c r="O521"/>
      <c r="P521"/>
      <c r="Q521"/>
    </row>
    <row r="522" spans="6:17" x14ac:dyDescent="0.3">
      <c r="F522"/>
      <c r="G522"/>
      <c r="H522"/>
      <c r="I522"/>
      <c r="J522"/>
      <c r="K522"/>
      <c r="L522"/>
      <c r="M522"/>
      <c r="N522"/>
      <c r="O522"/>
      <c r="P522"/>
      <c r="Q522"/>
    </row>
    <row r="523" spans="6:17" x14ac:dyDescent="0.3">
      <c r="F523"/>
      <c r="G523"/>
      <c r="H523"/>
      <c r="I523"/>
      <c r="J523"/>
      <c r="K523"/>
      <c r="L523"/>
      <c r="M523"/>
      <c r="N523"/>
      <c r="O523"/>
      <c r="P523"/>
      <c r="Q523"/>
    </row>
    <row r="524" spans="6:17" x14ac:dyDescent="0.3">
      <c r="F524"/>
      <c r="G524"/>
      <c r="H524"/>
      <c r="I524"/>
      <c r="J524"/>
      <c r="K524"/>
      <c r="L524"/>
      <c r="M524"/>
      <c r="N524"/>
      <c r="O524"/>
      <c r="P524"/>
      <c r="Q524"/>
    </row>
    <row r="525" spans="6:17" x14ac:dyDescent="0.3">
      <c r="F525"/>
      <c r="G525"/>
      <c r="H525"/>
      <c r="I525"/>
      <c r="J525"/>
      <c r="K525"/>
      <c r="L525"/>
      <c r="M525"/>
      <c r="N525"/>
      <c r="O525"/>
      <c r="P525"/>
      <c r="Q525"/>
    </row>
    <row r="526" spans="6:17" x14ac:dyDescent="0.3">
      <c r="F526"/>
      <c r="G526"/>
      <c r="H526"/>
      <c r="I526"/>
      <c r="J526"/>
      <c r="K526"/>
      <c r="L526"/>
      <c r="M526"/>
      <c r="N526"/>
      <c r="O526"/>
      <c r="P526"/>
      <c r="Q526"/>
    </row>
    <row r="527" spans="6:17" x14ac:dyDescent="0.3">
      <c r="F527"/>
      <c r="G527"/>
      <c r="H527"/>
      <c r="I527"/>
      <c r="J527"/>
      <c r="K527"/>
      <c r="L527"/>
      <c r="M527"/>
      <c r="N527"/>
      <c r="O527"/>
      <c r="P527"/>
      <c r="Q527"/>
    </row>
    <row r="528" spans="6:17" x14ac:dyDescent="0.3">
      <c r="F528"/>
      <c r="G528"/>
      <c r="H528"/>
      <c r="I528"/>
      <c r="J528"/>
      <c r="K528"/>
      <c r="L528"/>
      <c r="M528"/>
      <c r="N528"/>
      <c r="O528"/>
      <c r="P528"/>
      <c r="Q528"/>
    </row>
    <row r="529" spans="6:17" x14ac:dyDescent="0.3">
      <c r="F529"/>
      <c r="G529"/>
      <c r="H529"/>
      <c r="I529"/>
      <c r="J529"/>
      <c r="K529"/>
      <c r="L529"/>
      <c r="M529"/>
      <c r="N529"/>
      <c r="O529"/>
      <c r="P529"/>
      <c r="Q529"/>
    </row>
    <row r="530" spans="6:17" x14ac:dyDescent="0.3">
      <c r="F530"/>
      <c r="G530"/>
      <c r="H530"/>
      <c r="I530"/>
      <c r="J530"/>
      <c r="K530"/>
      <c r="L530"/>
      <c r="M530"/>
      <c r="N530"/>
      <c r="O530"/>
      <c r="P530"/>
      <c r="Q530"/>
    </row>
    <row r="531" spans="6:17" x14ac:dyDescent="0.3">
      <c r="F531"/>
      <c r="G531"/>
      <c r="H531"/>
      <c r="I531"/>
      <c r="J531"/>
      <c r="K531"/>
      <c r="L531"/>
      <c r="M531"/>
      <c r="N531"/>
      <c r="O531"/>
      <c r="P531"/>
      <c r="Q531"/>
    </row>
    <row r="532" spans="6:17" x14ac:dyDescent="0.3">
      <c r="F532"/>
      <c r="G532"/>
      <c r="H532"/>
      <c r="I532"/>
      <c r="J532"/>
      <c r="K532"/>
      <c r="L532"/>
      <c r="M532"/>
      <c r="N532"/>
      <c r="O532"/>
      <c r="P532"/>
      <c r="Q532"/>
    </row>
    <row r="533" spans="6:17" x14ac:dyDescent="0.3">
      <c r="F533"/>
      <c r="G533"/>
      <c r="H533"/>
      <c r="I533"/>
      <c r="J533"/>
      <c r="K533"/>
      <c r="L533"/>
      <c r="M533"/>
      <c r="N533"/>
      <c r="O533"/>
      <c r="P533"/>
      <c r="Q533"/>
    </row>
    <row r="534" spans="6:17" x14ac:dyDescent="0.3">
      <c r="F534"/>
      <c r="G534"/>
      <c r="H534"/>
      <c r="I534"/>
      <c r="J534"/>
      <c r="K534"/>
      <c r="L534"/>
      <c r="M534"/>
      <c r="N534"/>
      <c r="O534"/>
      <c r="P534"/>
      <c r="Q534"/>
    </row>
    <row r="535" spans="6:17" x14ac:dyDescent="0.3">
      <c r="F535"/>
      <c r="G535"/>
      <c r="H535"/>
      <c r="I535"/>
      <c r="J535"/>
      <c r="K535"/>
      <c r="L535"/>
      <c r="M535"/>
      <c r="N535"/>
      <c r="O535"/>
      <c r="P535"/>
      <c r="Q535"/>
    </row>
    <row r="536" spans="6:17" x14ac:dyDescent="0.3">
      <c r="F536"/>
      <c r="G536"/>
      <c r="H536"/>
      <c r="I536"/>
      <c r="J536"/>
      <c r="K536"/>
      <c r="L536"/>
      <c r="M536"/>
      <c r="N536"/>
      <c r="O536"/>
      <c r="P536"/>
      <c r="Q536"/>
    </row>
    <row r="537" spans="6:17" x14ac:dyDescent="0.3">
      <c r="F537"/>
      <c r="G537"/>
      <c r="H537"/>
      <c r="I537"/>
      <c r="J537"/>
      <c r="K537"/>
      <c r="L537"/>
      <c r="M537"/>
      <c r="N537"/>
      <c r="O537"/>
      <c r="P537"/>
      <c r="Q537"/>
    </row>
    <row r="538" spans="6:17" x14ac:dyDescent="0.3">
      <c r="F538"/>
      <c r="G538"/>
      <c r="H538"/>
      <c r="I538"/>
      <c r="J538"/>
      <c r="K538"/>
      <c r="L538"/>
      <c r="M538"/>
      <c r="N538"/>
      <c r="O538"/>
      <c r="P538"/>
      <c r="Q538"/>
    </row>
    <row r="539" spans="6:17" x14ac:dyDescent="0.3">
      <c r="F539"/>
      <c r="G539"/>
      <c r="H539"/>
      <c r="I539"/>
      <c r="J539"/>
      <c r="K539"/>
      <c r="L539"/>
      <c r="M539"/>
      <c r="N539"/>
      <c r="O539"/>
      <c r="P539"/>
      <c r="Q539"/>
    </row>
    <row r="540" spans="6:17" x14ac:dyDescent="0.3">
      <c r="F540"/>
      <c r="G540"/>
      <c r="H540"/>
      <c r="I540"/>
      <c r="J540"/>
      <c r="K540"/>
      <c r="L540"/>
      <c r="M540"/>
      <c r="N540"/>
      <c r="O540"/>
      <c r="P540"/>
      <c r="Q540"/>
    </row>
    <row r="541" spans="6:17" x14ac:dyDescent="0.3">
      <c r="F541"/>
      <c r="G541"/>
      <c r="H541"/>
      <c r="I541"/>
      <c r="J541"/>
      <c r="K541"/>
      <c r="L541"/>
      <c r="M541"/>
      <c r="N541"/>
      <c r="O541"/>
      <c r="P541"/>
      <c r="Q541"/>
    </row>
    <row r="542" spans="6:17" x14ac:dyDescent="0.3">
      <c r="F542"/>
      <c r="G542"/>
      <c r="H542"/>
      <c r="I542"/>
      <c r="J542"/>
      <c r="K542"/>
      <c r="L542"/>
      <c r="M542"/>
      <c r="N542"/>
      <c r="O542"/>
      <c r="P542"/>
      <c r="Q542"/>
    </row>
    <row r="543" spans="6:17" x14ac:dyDescent="0.3">
      <c r="F543"/>
      <c r="G543"/>
      <c r="H543"/>
      <c r="I543"/>
      <c r="J543"/>
      <c r="K543"/>
      <c r="L543"/>
      <c r="M543"/>
      <c r="N543"/>
      <c r="O543"/>
      <c r="P543"/>
      <c r="Q543"/>
    </row>
    <row r="544" spans="6:17" x14ac:dyDescent="0.3">
      <c r="F544"/>
      <c r="G544"/>
      <c r="H544"/>
      <c r="I544"/>
      <c r="J544"/>
      <c r="K544"/>
      <c r="L544"/>
      <c r="M544"/>
      <c r="N544"/>
      <c r="O544"/>
      <c r="P544"/>
      <c r="Q544"/>
    </row>
    <row r="545" spans="6:17" x14ac:dyDescent="0.3">
      <c r="F545"/>
      <c r="G545"/>
      <c r="H545"/>
      <c r="I545"/>
      <c r="J545"/>
      <c r="K545"/>
      <c r="L545"/>
      <c r="M545"/>
      <c r="N545"/>
      <c r="O545"/>
      <c r="P545"/>
      <c r="Q545"/>
    </row>
    <row r="546" spans="6:17" x14ac:dyDescent="0.3">
      <c r="F546"/>
      <c r="G546"/>
      <c r="H546"/>
      <c r="I546"/>
      <c r="J546"/>
      <c r="K546"/>
      <c r="L546"/>
      <c r="M546"/>
      <c r="N546"/>
      <c r="O546"/>
      <c r="P546"/>
      <c r="Q546"/>
    </row>
    <row r="547" spans="6:17" x14ac:dyDescent="0.3">
      <c r="F547"/>
      <c r="G547"/>
      <c r="H547"/>
      <c r="I547"/>
      <c r="J547"/>
      <c r="K547"/>
      <c r="L547"/>
      <c r="M547"/>
      <c r="N547"/>
      <c r="O547"/>
      <c r="P547"/>
      <c r="Q547"/>
    </row>
    <row r="548" spans="6:17" x14ac:dyDescent="0.3">
      <c r="F548"/>
      <c r="G548"/>
      <c r="H548"/>
      <c r="I548"/>
      <c r="J548"/>
      <c r="K548"/>
      <c r="L548"/>
      <c r="M548"/>
      <c r="N548"/>
      <c r="O548"/>
      <c r="P548"/>
      <c r="Q548"/>
    </row>
    <row r="549" spans="6:17" x14ac:dyDescent="0.3">
      <c r="F549"/>
      <c r="G549"/>
      <c r="H549"/>
      <c r="I549"/>
      <c r="J549"/>
      <c r="K549"/>
      <c r="L549"/>
      <c r="M549"/>
      <c r="N549"/>
      <c r="O549"/>
      <c r="P549"/>
      <c r="Q549"/>
    </row>
    <row r="550" spans="6:17" x14ac:dyDescent="0.3">
      <c r="F550"/>
      <c r="G550"/>
      <c r="H550"/>
      <c r="I550"/>
      <c r="J550"/>
      <c r="K550"/>
      <c r="L550"/>
      <c r="M550"/>
      <c r="N550"/>
      <c r="O550"/>
      <c r="P550"/>
      <c r="Q550"/>
    </row>
    <row r="551" spans="6:17" x14ac:dyDescent="0.3">
      <c r="F551"/>
      <c r="G551"/>
      <c r="H551"/>
      <c r="I551"/>
      <c r="J551"/>
      <c r="K551"/>
      <c r="L551"/>
      <c r="M551"/>
      <c r="N551"/>
      <c r="O551"/>
      <c r="P551"/>
      <c r="Q551"/>
    </row>
    <row r="552" spans="6:17" x14ac:dyDescent="0.3">
      <c r="F552"/>
      <c r="G552"/>
      <c r="H552"/>
      <c r="I552"/>
      <c r="J552"/>
      <c r="K552"/>
      <c r="L552"/>
      <c r="M552"/>
      <c r="N552"/>
      <c r="O552"/>
      <c r="P552"/>
      <c r="Q552"/>
    </row>
    <row r="553" spans="6:17" x14ac:dyDescent="0.3">
      <c r="F553"/>
      <c r="G553"/>
      <c r="H553"/>
      <c r="I553"/>
      <c r="J553"/>
      <c r="K553"/>
      <c r="L553"/>
      <c r="M553"/>
      <c r="N553"/>
      <c r="O553"/>
      <c r="P553"/>
      <c r="Q553"/>
    </row>
    <row r="554" spans="6:17" x14ac:dyDescent="0.3">
      <c r="F554"/>
      <c r="G554"/>
      <c r="H554"/>
      <c r="I554"/>
      <c r="J554"/>
      <c r="K554"/>
      <c r="L554"/>
      <c r="M554"/>
      <c r="N554"/>
      <c r="O554"/>
      <c r="P554"/>
      <c r="Q554"/>
    </row>
    <row r="555" spans="6:17" x14ac:dyDescent="0.3">
      <c r="F555"/>
      <c r="G555"/>
      <c r="H555"/>
      <c r="I555"/>
      <c r="J555"/>
      <c r="K555"/>
      <c r="L555"/>
      <c r="M555"/>
      <c r="N555"/>
      <c r="O555"/>
      <c r="P555"/>
      <c r="Q555"/>
    </row>
    <row r="556" spans="6:17" x14ac:dyDescent="0.3">
      <c r="F556"/>
      <c r="G556"/>
      <c r="H556"/>
      <c r="I556"/>
      <c r="J556"/>
      <c r="K556"/>
      <c r="L556"/>
      <c r="M556"/>
      <c r="N556"/>
      <c r="O556"/>
      <c r="P556"/>
      <c r="Q556"/>
    </row>
    <row r="557" spans="6:17" x14ac:dyDescent="0.3">
      <c r="F557"/>
      <c r="G557"/>
      <c r="H557"/>
      <c r="I557"/>
      <c r="J557"/>
      <c r="K557"/>
      <c r="L557"/>
      <c r="M557"/>
      <c r="N557"/>
      <c r="O557"/>
      <c r="P557"/>
      <c r="Q557"/>
    </row>
    <row r="558" spans="6:17" x14ac:dyDescent="0.3">
      <c r="F558"/>
      <c r="G558"/>
      <c r="H558"/>
      <c r="I558"/>
      <c r="J558"/>
      <c r="K558"/>
      <c r="L558"/>
      <c r="M558"/>
      <c r="N558"/>
      <c r="O558"/>
      <c r="P558"/>
      <c r="Q558"/>
    </row>
    <row r="559" spans="6:17" x14ac:dyDescent="0.3">
      <c r="F559"/>
      <c r="G559"/>
      <c r="H559"/>
      <c r="I559"/>
      <c r="J559"/>
      <c r="K559"/>
      <c r="L559"/>
      <c r="M559"/>
      <c r="N559"/>
      <c r="O559"/>
      <c r="P559"/>
      <c r="Q559"/>
    </row>
    <row r="560" spans="6:17" x14ac:dyDescent="0.3">
      <c r="F560"/>
      <c r="G560"/>
      <c r="H560"/>
      <c r="I560"/>
      <c r="J560"/>
      <c r="K560"/>
      <c r="L560"/>
      <c r="M560"/>
      <c r="N560"/>
      <c r="O560"/>
      <c r="P560"/>
      <c r="Q560"/>
    </row>
    <row r="561" spans="6:17" x14ac:dyDescent="0.3">
      <c r="F561"/>
      <c r="G561"/>
      <c r="H561"/>
      <c r="I561"/>
      <c r="J561"/>
      <c r="K561"/>
      <c r="L561"/>
      <c r="M561"/>
      <c r="N561"/>
      <c r="O561"/>
      <c r="P561"/>
      <c r="Q561"/>
    </row>
    <row r="562" spans="6:17" x14ac:dyDescent="0.3">
      <c r="F562"/>
      <c r="G562"/>
      <c r="H562"/>
      <c r="I562"/>
      <c r="J562"/>
      <c r="K562"/>
      <c r="L562"/>
      <c r="M562"/>
      <c r="N562"/>
      <c r="O562"/>
      <c r="P562"/>
      <c r="Q562"/>
    </row>
    <row r="563" spans="6:17" x14ac:dyDescent="0.3">
      <c r="F563"/>
      <c r="G563"/>
      <c r="H563"/>
      <c r="I563"/>
      <c r="J563"/>
      <c r="K563"/>
      <c r="L563"/>
      <c r="M563"/>
      <c r="N563"/>
      <c r="O563"/>
      <c r="P563"/>
      <c r="Q563"/>
    </row>
    <row r="564" spans="6:17" x14ac:dyDescent="0.3">
      <c r="F564"/>
      <c r="G564"/>
      <c r="H564"/>
      <c r="I564"/>
      <c r="J564"/>
      <c r="K564"/>
      <c r="L564"/>
      <c r="M564"/>
      <c r="N564"/>
      <c r="O564"/>
      <c r="P564"/>
      <c r="Q564"/>
    </row>
    <row r="565" spans="6:17" x14ac:dyDescent="0.3">
      <c r="F565"/>
      <c r="G565"/>
      <c r="H565"/>
      <c r="I565"/>
      <c r="J565"/>
      <c r="K565"/>
      <c r="L565"/>
      <c r="M565"/>
      <c r="N565"/>
      <c r="O565"/>
      <c r="P565"/>
      <c r="Q565"/>
    </row>
    <row r="566" spans="6:17" x14ac:dyDescent="0.3">
      <c r="F566"/>
      <c r="G566"/>
      <c r="H566"/>
      <c r="I566"/>
      <c r="J566"/>
      <c r="K566"/>
      <c r="L566"/>
      <c r="M566"/>
      <c r="N566"/>
      <c r="O566"/>
      <c r="P566"/>
      <c r="Q566"/>
    </row>
    <row r="567" spans="6:17" x14ac:dyDescent="0.3">
      <c r="F567"/>
      <c r="G567"/>
      <c r="H567"/>
      <c r="I567"/>
      <c r="J567"/>
      <c r="K567"/>
      <c r="L567"/>
      <c r="M567"/>
      <c r="N567"/>
      <c r="O567"/>
      <c r="P567"/>
      <c r="Q567"/>
    </row>
    <row r="568" spans="6:17" x14ac:dyDescent="0.3">
      <c r="F568"/>
      <c r="G568"/>
      <c r="H568"/>
      <c r="I568"/>
      <c r="J568"/>
      <c r="K568"/>
      <c r="L568"/>
      <c r="M568"/>
      <c r="N568"/>
      <c r="O568"/>
      <c r="P568"/>
      <c r="Q568"/>
    </row>
    <row r="569" spans="6:17" x14ac:dyDescent="0.3">
      <c r="F569"/>
      <c r="G569"/>
      <c r="H569"/>
      <c r="I569"/>
      <c r="J569"/>
      <c r="K569"/>
      <c r="L569"/>
      <c r="M569"/>
      <c r="N569"/>
      <c r="O569"/>
      <c r="P569"/>
      <c r="Q569"/>
    </row>
    <row r="570" spans="6:17" x14ac:dyDescent="0.3">
      <c r="F570"/>
      <c r="G570"/>
      <c r="H570"/>
      <c r="I570"/>
      <c r="J570"/>
      <c r="K570"/>
      <c r="L570"/>
      <c r="M570"/>
      <c r="N570"/>
      <c r="O570"/>
      <c r="P570"/>
      <c r="Q570"/>
    </row>
    <row r="571" spans="6:17" x14ac:dyDescent="0.3">
      <c r="F571"/>
      <c r="G571"/>
      <c r="H571"/>
      <c r="I571"/>
      <c r="J571"/>
      <c r="K571"/>
      <c r="L571"/>
      <c r="M571"/>
      <c r="N571"/>
      <c r="O571"/>
      <c r="P571"/>
      <c r="Q571"/>
    </row>
    <row r="572" spans="6:17" x14ac:dyDescent="0.3">
      <c r="F572"/>
      <c r="G572"/>
      <c r="H572"/>
      <c r="I572"/>
      <c r="J572"/>
      <c r="K572"/>
      <c r="L572"/>
      <c r="M572"/>
      <c r="N572"/>
      <c r="O572"/>
      <c r="P572"/>
      <c r="Q572"/>
    </row>
    <row r="573" spans="6:17" x14ac:dyDescent="0.3">
      <c r="F573"/>
      <c r="G573"/>
      <c r="H573"/>
      <c r="I573"/>
      <c r="J573"/>
      <c r="K573"/>
      <c r="L573"/>
      <c r="M573"/>
      <c r="N573"/>
      <c r="O573"/>
      <c r="P573"/>
      <c r="Q573"/>
    </row>
    <row r="574" spans="6:17" x14ac:dyDescent="0.3">
      <c r="F574"/>
      <c r="G574"/>
      <c r="H574"/>
      <c r="I574"/>
      <c r="J574"/>
      <c r="K574"/>
      <c r="L574"/>
      <c r="M574"/>
      <c r="N574"/>
      <c r="O574"/>
      <c r="P574"/>
      <c r="Q574"/>
    </row>
    <row r="575" spans="6:17" x14ac:dyDescent="0.3">
      <c r="F575"/>
      <c r="G575"/>
      <c r="H575"/>
      <c r="I575"/>
      <c r="J575"/>
      <c r="K575"/>
      <c r="L575"/>
      <c r="M575"/>
      <c r="N575"/>
      <c r="O575"/>
      <c r="P575"/>
      <c r="Q575"/>
    </row>
    <row r="576" spans="6:17" x14ac:dyDescent="0.3">
      <c r="F576"/>
      <c r="G576"/>
      <c r="H576"/>
      <c r="I576"/>
      <c r="J576"/>
      <c r="K576"/>
      <c r="L576"/>
      <c r="M576"/>
      <c r="N576"/>
      <c r="O576"/>
      <c r="P576"/>
      <c r="Q576"/>
    </row>
    <row r="577" spans="6:17" x14ac:dyDescent="0.3">
      <c r="F577"/>
      <c r="G577"/>
      <c r="H577"/>
      <c r="I577"/>
      <c r="J577"/>
      <c r="K577"/>
      <c r="L577"/>
      <c r="M577"/>
      <c r="N577"/>
      <c r="O577"/>
      <c r="P577"/>
      <c r="Q577"/>
    </row>
    <row r="578" spans="6:17" x14ac:dyDescent="0.3">
      <c r="F578"/>
      <c r="G578"/>
      <c r="H578"/>
      <c r="I578"/>
      <c r="J578"/>
      <c r="K578"/>
      <c r="L578"/>
      <c r="M578"/>
      <c r="N578"/>
      <c r="O578"/>
      <c r="P578"/>
      <c r="Q578"/>
    </row>
    <row r="579" spans="6:17" x14ac:dyDescent="0.3">
      <c r="F579"/>
      <c r="G579"/>
      <c r="H579"/>
      <c r="I579"/>
      <c r="J579"/>
      <c r="K579"/>
      <c r="L579"/>
      <c r="M579"/>
      <c r="N579"/>
      <c r="O579"/>
      <c r="P579"/>
      <c r="Q579"/>
    </row>
    <row r="580" spans="6:17" x14ac:dyDescent="0.3">
      <c r="F580"/>
      <c r="G580"/>
      <c r="H580"/>
      <c r="I580"/>
      <c r="J580"/>
      <c r="K580"/>
      <c r="L580"/>
      <c r="M580"/>
      <c r="N580"/>
      <c r="O580"/>
      <c r="P580"/>
      <c r="Q580"/>
    </row>
    <row r="581" spans="6:17" x14ac:dyDescent="0.3">
      <c r="F581"/>
      <c r="G581"/>
      <c r="H581"/>
      <c r="I581"/>
      <c r="J581"/>
      <c r="K581"/>
      <c r="L581"/>
      <c r="M581"/>
      <c r="N581"/>
      <c r="O581"/>
      <c r="P581"/>
      <c r="Q581"/>
    </row>
    <row r="582" spans="6:17" x14ac:dyDescent="0.3">
      <c r="F582"/>
      <c r="G582"/>
      <c r="H582"/>
      <c r="I582"/>
      <c r="J582"/>
      <c r="K582"/>
      <c r="L582"/>
      <c r="M582"/>
      <c r="N582"/>
      <c r="O582"/>
      <c r="P582"/>
      <c r="Q582"/>
    </row>
    <row r="583" spans="6:17" x14ac:dyDescent="0.3">
      <c r="F583"/>
      <c r="G583"/>
      <c r="H583"/>
      <c r="I583"/>
      <c r="J583"/>
      <c r="K583"/>
      <c r="L583"/>
      <c r="M583"/>
      <c r="N583"/>
      <c r="O583"/>
      <c r="P583"/>
      <c r="Q583"/>
    </row>
    <row r="584" spans="6:17" x14ac:dyDescent="0.3">
      <c r="F584"/>
      <c r="G584"/>
      <c r="H584"/>
      <c r="I584"/>
      <c r="J584"/>
      <c r="K584"/>
      <c r="L584"/>
      <c r="M584"/>
      <c r="N584"/>
      <c r="O584"/>
      <c r="P584"/>
      <c r="Q584"/>
    </row>
    <row r="585" spans="6:17" x14ac:dyDescent="0.3">
      <c r="F585"/>
      <c r="G585"/>
      <c r="H585"/>
      <c r="I585"/>
      <c r="J585"/>
      <c r="K585"/>
      <c r="L585"/>
      <c r="M585"/>
      <c r="N585"/>
      <c r="O585"/>
      <c r="P585"/>
      <c r="Q585"/>
    </row>
    <row r="586" spans="6:17" x14ac:dyDescent="0.3">
      <c r="F586"/>
      <c r="G586"/>
      <c r="H586"/>
      <c r="I586"/>
      <c r="J586"/>
      <c r="K586"/>
      <c r="L586"/>
      <c r="M586"/>
      <c r="N586"/>
      <c r="O586"/>
      <c r="P586"/>
      <c r="Q586"/>
    </row>
    <row r="587" spans="6:17" x14ac:dyDescent="0.3">
      <c r="F587"/>
      <c r="G587"/>
      <c r="H587"/>
      <c r="I587"/>
      <c r="J587"/>
      <c r="K587"/>
      <c r="L587"/>
      <c r="M587"/>
      <c r="N587"/>
      <c r="O587"/>
      <c r="P587"/>
      <c r="Q587"/>
    </row>
    <row r="588" spans="6:17" x14ac:dyDescent="0.3">
      <c r="F588"/>
      <c r="G588"/>
      <c r="H588"/>
      <c r="I588"/>
      <c r="J588"/>
      <c r="K588"/>
      <c r="L588"/>
      <c r="M588"/>
      <c r="N588"/>
      <c r="O588"/>
      <c r="P588"/>
      <c r="Q588"/>
    </row>
    <row r="589" spans="6:17" x14ac:dyDescent="0.3">
      <c r="F589"/>
      <c r="G589"/>
      <c r="H589"/>
      <c r="I589"/>
      <c r="J589"/>
      <c r="K589"/>
      <c r="L589"/>
      <c r="M589"/>
      <c r="N589"/>
      <c r="O589"/>
      <c r="P589"/>
      <c r="Q589"/>
    </row>
    <row r="590" spans="6:17" x14ac:dyDescent="0.3">
      <c r="F590"/>
      <c r="G590"/>
      <c r="H590"/>
      <c r="I590"/>
      <c r="J590"/>
      <c r="K590"/>
      <c r="L590"/>
      <c r="M590"/>
      <c r="N590"/>
      <c r="O590"/>
      <c r="P590"/>
      <c r="Q590"/>
    </row>
    <row r="591" spans="6:17" x14ac:dyDescent="0.3">
      <c r="F591"/>
      <c r="G591"/>
      <c r="H591"/>
      <c r="I591"/>
      <c r="J591"/>
      <c r="K591"/>
      <c r="L591"/>
      <c r="M591"/>
      <c r="N591"/>
      <c r="O591"/>
      <c r="P591"/>
      <c r="Q591"/>
    </row>
    <row r="592" spans="6:17" x14ac:dyDescent="0.3">
      <c r="F592"/>
      <c r="G592"/>
      <c r="H592"/>
      <c r="I592"/>
      <c r="J592"/>
      <c r="K592"/>
      <c r="L592"/>
      <c r="M592"/>
      <c r="N592"/>
      <c r="O592"/>
      <c r="P592"/>
      <c r="Q592"/>
    </row>
    <row r="593" spans="6:17" x14ac:dyDescent="0.3">
      <c r="F593"/>
      <c r="G593"/>
      <c r="H593"/>
      <c r="I593"/>
      <c r="J593"/>
      <c r="K593"/>
      <c r="L593"/>
      <c r="M593"/>
      <c r="N593"/>
      <c r="O593"/>
      <c r="P593"/>
      <c r="Q593"/>
    </row>
    <row r="594" spans="6:17" x14ac:dyDescent="0.3">
      <c r="F594"/>
      <c r="G594"/>
      <c r="H594"/>
      <c r="I594"/>
      <c r="J594"/>
      <c r="K594"/>
      <c r="L594"/>
      <c r="M594"/>
      <c r="N594"/>
      <c r="O594"/>
      <c r="P594"/>
      <c r="Q594"/>
    </row>
    <row r="595" spans="6:17" x14ac:dyDescent="0.3">
      <c r="F595"/>
      <c r="G595"/>
      <c r="H595"/>
      <c r="I595"/>
      <c r="J595"/>
      <c r="K595"/>
      <c r="L595"/>
      <c r="M595"/>
      <c r="N595"/>
      <c r="O595"/>
      <c r="P595"/>
      <c r="Q595"/>
    </row>
    <row r="596" spans="6:17" x14ac:dyDescent="0.3">
      <c r="F596"/>
      <c r="G596"/>
      <c r="H596"/>
      <c r="I596"/>
      <c r="J596"/>
      <c r="K596"/>
      <c r="L596"/>
      <c r="M596"/>
      <c r="N596"/>
      <c r="O596"/>
      <c r="P596"/>
      <c r="Q596"/>
    </row>
    <row r="597" spans="6:17" x14ac:dyDescent="0.3">
      <c r="F597"/>
      <c r="G597"/>
      <c r="H597"/>
      <c r="I597"/>
      <c r="J597"/>
      <c r="K597"/>
      <c r="L597"/>
      <c r="M597"/>
      <c r="N597"/>
      <c r="O597"/>
      <c r="P597"/>
      <c r="Q597"/>
    </row>
    <row r="598" spans="6:17" x14ac:dyDescent="0.3">
      <c r="F598"/>
      <c r="G598"/>
      <c r="H598"/>
      <c r="I598"/>
      <c r="J598"/>
      <c r="K598"/>
      <c r="L598"/>
      <c r="M598"/>
      <c r="N598"/>
      <c r="O598"/>
      <c r="P598"/>
      <c r="Q598"/>
    </row>
    <row r="599" spans="6:17" x14ac:dyDescent="0.3">
      <c r="F599"/>
      <c r="G599"/>
      <c r="H599"/>
      <c r="I599"/>
      <c r="J599"/>
      <c r="K599"/>
      <c r="L599"/>
      <c r="M599"/>
      <c r="N599"/>
      <c r="O599"/>
      <c r="P599"/>
      <c r="Q599"/>
    </row>
    <row r="600" spans="6:17" x14ac:dyDescent="0.3">
      <c r="F600"/>
      <c r="G600"/>
      <c r="H600"/>
      <c r="I600"/>
      <c r="J600"/>
      <c r="K600"/>
      <c r="L600"/>
      <c r="M600"/>
      <c r="N600"/>
      <c r="O600"/>
      <c r="P600"/>
      <c r="Q600"/>
    </row>
    <row r="601" spans="6:17" x14ac:dyDescent="0.3">
      <c r="F601"/>
      <c r="G601"/>
      <c r="H601"/>
      <c r="I601"/>
      <c r="J601"/>
      <c r="K601"/>
      <c r="L601"/>
      <c r="M601"/>
      <c r="N601"/>
      <c r="O601"/>
      <c r="P601"/>
      <c r="Q601"/>
    </row>
    <row r="602" spans="6:17" x14ac:dyDescent="0.3">
      <c r="F602"/>
      <c r="G602"/>
      <c r="H602"/>
      <c r="I602"/>
      <c r="J602"/>
      <c r="K602"/>
      <c r="L602"/>
      <c r="M602"/>
      <c r="N602"/>
      <c r="O602"/>
      <c r="P602"/>
      <c r="Q602"/>
    </row>
    <row r="603" spans="6:17" x14ac:dyDescent="0.3">
      <c r="F603"/>
      <c r="G603"/>
      <c r="H603"/>
      <c r="I603"/>
      <c r="J603"/>
      <c r="K603"/>
      <c r="L603"/>
      <c r="M603"/>
      <c r="N603"/>
      <c r="O603"/>
      <c r="P603"/>
      <c r="Q603"/>
    </row>
    <row r="604" spans="6:17" x14ac:dyDescent="0.3">
      <c r="F604"/>
      <c r="G604"/>
      <c r="H604"/>
      <c r="I604"/>
      <c r="J604"/>
      <c r="K604"/>
      <c r="L604"/>
      <c r="M604"/>
      <c r="N604"/>
      <c r="O604"/>
      <c r="P604"/>
      <c r="Q604"/>
    </row>
    <row r="605" spans="6:17" x14ac:dyDescent="0.3">
      <c r="F605"/>
      <c r="G605"/>
      <c r="H605"/>
      <c r="I605"/>
      <c r="J605"/>
      <c r="K605"/>
      <c r="L605"/>
      <c r="M605"/>
      <c r="N605"/>
      <c r="O605"/>
      <c r="P605"/>
      <c r="Q605"/>
    </row>
    <row r="606" spans="6:17" x14ac:dyDescent="0.3">
      <c r="F606"/>
      <c r="G606"/>
      <c r="H606"/>
      <c r="I606"/>
      <c r="J606"/>
      <c r="K606"/>
      <c r="L606"/>
      <c r="M606"/>
      <c r="N606"/>
      <c r="O606"/>
      <c r="P606"/>
      <c r="Q606"/>
    </row>
    <row r="607" spans="6:17" x14ac:dyDescent="0.3">
      <c r="F607"/>
      <c r="G607"/>
      <c r="H607"/>
      <c r="I607"/>
      <c r="J607"/>
      <c r="K607"/>
      <c r="L607"/>
      <c r="M607"/>
      <c r="N607"/>
      <c r="O607"/>
      <c r="P607"/>
      <c r="Q607"/>
    </row>
    <row r="608" spans="6:17" x14ac:dyDescent="0.3">
      <c r="F608"/>
      <c r="G608"/>
      <c r="H608"/>
      <c r="I608"/>
      <c r="J608"/>
      <c r="K608"/>
      <c r="L608"/>
      <c r="M608"/>
      <c r="N608"/>
      <c r="O608"/>
      <c r="P608"/>
      <c r="Q608"/>
    </row>
    <row r="609" spans="6:17" x14ac:dyDescent="0.3">
      <c r="F609"/>
      <c r="G609"/>
      <c r="H609"/>
      <c r="I609"/>
      <c r="J609"/>
      <c r="K609"/>
      <c r="L609"/>
      <c r="M609"/>
      <c r="N609"/>
      <c r="O609"/>
      <c r="P609"/>
      <c r="Q609"/>
    </row>
    <row r="610" spans="6:17" x14ac:dyDescent="0.3">
      <c r="F610"/>
      <c r="G610"/>
      <c r="H610"/>
      <c r="I610"/>
      <c r="J610"/>
      <c r="K610"/>
      <c r="L610"/>
      <c r="M610"/>
      <c r="N610"/>
      <c r="O610"/>
      <c r="P610"/>
      <c r="Q610"/>
    </row>
    <row r="611" spans="6:17" x14ac:dyDescent="0.3">
      <c r="F611"/>
      <c r="G611"/>
      <c r="H611"/>
      <c r="I611"/>
      <c r="J611"/>
      <c r="K611"/>
      <c r="L611"/>
      <c r="M611"/>
      <c r="N611"/>
      <c r="O611"/>
      <c r="P611"/>
      <c r="Q611"/>
    </row>
    <row r="612" spans="6:17" x14ac:dyDescent="0.3">
      <c r="F612"/>
      <c r="G612"/>
      <c r="H612"/>
      <c r="I612"/>
      <c r="J612"/>
      <c r="K612"/>
      <c r="L612"/>
      <c r="M612"/>
      <c r="N612"/>
      <c r="O612"/>
      <c r="P612"/>
      <c r="Q612"/>
    </row>
    <row r="613" spans="6:17" x14ac:dyDescent="0.3">
      <c r="F613"/>
      <c r="G613"/>
      <c r="H613"/>
      <c r="I613"/>
      <c r="J613"/>
      <c r="K613"/>
      <c r="L613"/>
      <c r="M613"/>
      <c r="N613"/>
      <c r="O613"/>
      <c r="P613"/>
      <c r="Q613"/>
    </row>
    <row r="614" spans="6:17" x14ac:dyDescent="0.3">
      <c r="F614"/>
      <c r="G614"/>
      <c r="H614"/>
      <c r="I614"/>
      <c r="J614"/>
      <c r="K614"/>
      <c r="L614"/>
      <c r="M614"/>
      <c r="N614"/>
      <c r="O614"/>
      <c r="P614"/>
      <c r="Q614"/>
    </row>
    <row r="615" spans="6:17" x14ac:dyDescent="0.3">
      <c r="F615"/>
      <c r="G615"/>
      <c r="H615"/>
      <c r="I615"/>
      <c r="J615"/>
      <c r="K615"/>
      <c r="L615"/>
      <c r="M615"/>
      <c r="N615"/>
      <c r="O615"/>
      <c r="P615"/>
      <c r="Q615"/>
    </row>
    <row r="616" spans="6:17" x14ac:dyDescent="0.3">
      <c r="F616"/>
      <c r="G616"/>
      <c r="H616"/>
      <c r="I616"/>
      <c r="J616"/>
      <c r="K616"/>
      <c r="L616"/>
      <c r="M616"/>
      <c r="N616"/>
      <c r="O616"/>
      <c r="P616"/>
      <c r="Q616"/>
    </row>
    <row r="617" spans="6:17" x14ac:dyDescent="0.3">
      <c r="F617"/>
      <c r="G617"/>
      <c r="H617"/>
      <c r="I617"/>
      <c r="J617"/>
      <c r="K617"/>
      <c r="L617"/>
      <c r="M617"/>
      <c r="N617"/>
      <c r="O617"/>
      <c r="P617"/>
      <c r="Q617"/>
    </row>
    <row r="618" spans="6:17" x14ac:dyDescent="0.3">
      <c r="F618"/>
      <c r="G618"/>
      <c r="H618"/>
      <c r="I618"/>
      <c r="J618"/>
      <c r="K618"/>
      <c r="L618"/>
      <c r="M618"/>
      <c r="N618"/>
      <c r="O618"/>
      <c r="P618"/>
      <c r="Q618"/>
    </row>
    <row r="619" spans="6:17" x14ac:dyDescent="0.3">
      <c r="F619"/>
      <c r="G619"/>
      <c r="H619"/>
      <c r="I619"/>
      <c r="J619"/>
      <c r="K619"/>
      <c r="L619"/>
      <c r="M619"/>
      <c r="N619"/>
      <c r="O619"/>
      <c r="P619"/>
      <c r="Q619"/>
    </row>
    <row r="620" spans="6:17" x14ac:dyDescent="0.3">
      <c r="F620"/>
      <c r="G620"/>
      <c r="H620"/>
      <c r="I620"/>
      <c r="J620"/>
      <c r="K620"/>
      <c r="L620"/>
      <c r="M620"/>
      <c r="N620"/>
      <c r="O620"/>
      <c r="P620"/>
      <c r="Q620"/>
    </row>
    <row r="621" spans="6:17" x14ac:dyDescent="0.3">
      <c r="F621"/>
      <c r="G621"/>
      <c r="H621"/>
      <c r="I621"/>
      <c r="J621"/>
      <c r="K621"/>
      <c r="L621"/>
      <c r="M621"/>
      <c r="N621"/>
      <c r="O621"/>
      <c r="P621"/>
      <c r="Q621"/>
    </row>
    <row r="622" spans="6:17" x14ac:dyDescent="0.3">
      <c r="F622"/>
      <c r="G622"/>
      <c r="H622"/>
      <c r="I622"/>
      <c r="J622"/>
      <c r="K622"/>
      <c r="L622"/>
      <c r="M622"/>
      <c r="N622"/>
      <c r="O622"/>
      <c r="P622"/>
      <c r="Q622"/>
    </row>
    <row r="623" spans="6:17" x14ac:dyDescent="0.3">
      <c r="F623"/>
      <c r="G623"/>
      <c r="H623"/>
      <c r="I623"/>
      <c r="J623"/>
      <c r="K623"/>
      <c r="L623"/>
      <c r="M623"/>
      <c r="N623"/>
      <c r="O623"/>
      <c r="P623"/>
      <c r="Q623"/>
    </row>
    <row r="624" spans="6:17" x14ac:dyDescent="0.3">
      <c r="F624"/>
      <c r="G624"/>
      <c r="H624"/>
      <c r="I624"/>
      <c r="J624"/>
      <c r="K624"/>
      <c r="L624"/>
      <c r="M624"/>
      <c r="N624"/>
      <c r="O624"/>
      <c r="P624"/>
      <c r="Q624"/>
    </row>
    <row r="625" spans="6:17" x14ac:dyDescent="0.3">
      <c r="F625"/>
      <c r="G625"/>
      <c r="H625"/>
      <c r="I625"/>
      <c r="J625"/>
      <c r="K625"/>
      <c r="L625"/>
      <c r="M625"/>
      <c r="N625"/>
      <c r="O625"/>
      <c r="P625"/>
      <c r="Q625"/>
    </row>
    <row r="626" spans="6:17" x14ac:dyDescent="0.3">
      <c r="F626"/>
      <c r="G626"/>
      <c r="H626"/>
      <c r="I626"/>
      <c r="J626"/>
      <c r="K626"/>
      <c r="L626"/>
      <c r="M626"/>
      <c r="N626"/>
      <c r="O626"/>
      <c r="P626"/>
      <c r="Q626"/>
    </row>
    <row r="627" spans="6:17" x14ac:dyDescent="0.3">
      <c r="F627"/>
      <c r="G627"/>
      <c r="H627"/>
      <c r="I627"/>
      <c r="J627"/>
      <c r="K627"/>
      <c r="L627"/>
      <c r="M627"/>
      <c r="N627"/>
      <c r="O627"/>
      <c r="P627"/>
      <c r="Q627"/>
    </row>
    <row r="628" spans="6:17" x14ac:dyDescent="0.3">
      <c r="F628"/>
      <c r="G628"/>
      <c r="H628"/>
      <c r="I628"/>
      <c r="J628"/>
      <c r="K628"/>
      <c r="L628"/>
      <c r="M628"/>
      <c r="N628"/>
      <c r="O628"/>
      <c r="P628"/>
      <c r="Q628"/>
    </row>
    <row r="629" spans="6:17" x14ac:dyDescent="0.3">
      <c r="F629"/>
      <c r="G629"/>
      <c r="H629"/>
      <c r="I629"/>
      <c r="J629"/>
      <c r="K629"/>
      <c r="L629"/>
      <c r="M629"/>
      <c r="N629"/>
      <c r="O629"/>
      <c r="P629"/>
      <c r="Q629"/>
    </row>
    <row r="630" spans="6:17" x14ac:dyDescent="0.3">
      <c r="F630"/>
      <c r="G630"/>
      <c r="H630"/>
      <c r="I630"/>
      <c r="J630"/>
      <c r="K630"/>
      <c r="L630"/>
      <c r="M630"/>
      <c r="N630"/>
      <c r="O630"/>
      <c r="P630"/>
      <c r="Q630"/>
    </row>
    <row r="631" spans="6:17" x14ac:dyDescent="0.3">
      <c r="F631"/>
      <c r="G631"/>
      <c r="H631"/>
      <c r="I631"/>
      <c r="J631"/>
      <c r="K631"/>
      <c r="L631"/>
      <c r="M631"/>
      <c r="N631"/>
      <c r="O631"/>
      <c r="P631"/>
      <c r="Q631"/>
    </row>
    <row r="632" spans="6:17" x14ac:dyDescent="0.3">
      <c r="F632"/>
      <c r="G632"/>
      <c r="H632"/>
      <c r="I632"/>
      <c r="J632"/>
      <c r="K632"/>
      <c r="L632"/>
      <c r="M632"/>
      <c r="N632"/>
      <c r="O632"/>
      <c r="P632"/>
      <c r="Q632"/>
    </row>
    <row r="633" spans="6:17" x14ac:dyDescent="0.3">
      <c r="F633"/>
      <c r="G633"/>
      <c r="H633"/>
      <c r="I633"/>
      <c r="J633"/>
      <c r="K633"/>
      <c r="L633"/>
      <c r="M633"/>
      <c r="N633"/>
      <c r="O633"/>
      <c r="P633"/>
      <c r="Q633"/>
    </row>
    <row r="634" spans="6:17" x14ac:dyDescent="0.3">
      <c r="F634"/>
      <c r="G634"/>
      <c r="H634"/>
      <c r="I634"/>
      <c r="J634"/>
      <c r="K634"/>
      <c r="L634"/>
      <c r="M634"/>
      <c r="N634"/>
      <c r="O634"/>
      <c r="P634"/>
      <c r="Q634"/>
    </row>
    <row r="635" spans="6:17" x14ac:dyDescent="0.3">
      <c r="F635"/>
      <c r="G635"/>
      <c r="H635"/>
      <c r="I635"/>
      <c r="J635"/>
      <c r="K635"/>
      <c r="L635"/>
      <c r="M635"/>
      <c r="N635"/>
      <c r="O635"/>
      <c r="P635"/>
      <c r="Q635"/>
    </row>
    <row r="636" spans="6:17" x14ac:dyDescent="0.3">
      <c r="F636"/>
      <c r="G636"/>
      <c r="H636"/>
      <c r="I636"/>
      <c r="J636"/>
      <c r="K636"/>
      <c r="L636"/>
      <c r="M636"/>
      <c r="N636"/>
      <c r="O636"/>
      <c r="P636"/>
      <c r="Q636"/>
    </row>
    <row r="637" spans="6:17" x14ac:dyDescent="0.3">
      <c r="F637"/>
      <c r="G637"/>
      <c r="H637"/>
      <c r="I637"/>
      <c r="J637"/>
      <c r="K637"/>
      <c r="L637"/>
      <c r="M637"/>
      <c r="N637"/>
      <c r="O637"/>
      <c r="P637"/>
      <c r="Q637"/>
    </row>
    <row r="638" spans="6:17" x14ac:dyDescent="0.3">
      <c r="F638"/>
      <c r="G638"/>
      <c r="H638"/>
      <c r="I638"/>
      <c r="J638"/>
      <c r="K638"/>
      <c r="L638"/>
      <c r="M638"/>
      <c r="N638"/>
      <c r="O638"/>
      <c r="P638"/>
      <c r="Q638"/>
    </row>
    <row r="639" spans="6:17" x14ac:dyDescent="0.3">
      <c r="F639"/>
      <c r="G639"/>
      <c r="H639"/>
      <c r="I639"/>
      <c r="J639"/>
      <c r="K639"/>
      <c r="L639"/>
      <c r="M639"/>
      <c r="N639"/>
      <c r="O639"/>
      <c r="P639"/>
      <c r="Q639"/>
    </row>
    <row r="640" spans="6:17" x14ac:dyDescent="0.3">
      <c r="F640"/>
      <c r="G640"/>
      <c r="H640"/>
      <c r="I640"/>
      <c r="J640"/>
      <c r="K640"/>
      <c r="L640"/>
      <c r="M640"/>
      <c r="N640"/>
      <c r="O640"/>
      <c r="P640"/>
      <c r="Q640"/>
    </row>
    <row r="641" spans="6:17" x14ac:dyDescent="0.3">
      <c r="F641"/>
      <c r="G641"/>
      <c r="H641"/>
      <c r="I641"/>
      <c r="J641"/>
      <c r="K641"/>
      <c r="L641"/>
      <c r="M641"/>
      <c r="N641"/>
      <c r="O641"/>
      <c r="P641"/>
      <c r="Q641"/>
    </row>
    <row r="642" spans="6:17" x14ac:dyDescent="0.3">
      <c r="F642"/>
      <c r="G642"/>
      <c r="H642"/>
      <c r="I642"/>
      <c r="J642"/>
      <c r="K642"/>
      <c r="L642"/>
      <c r="M642"/>
      <c r="N642"/>
      <c r="O642"/>
      <c r="P642"/>
      <c r="Q642"/>
    </row>
    <row r="643" spans="6:17" x14ac:dyDescent="0.3">
      <c r="F643"/>
      <c r="G643"/>
      <c r="H643"/>
      <c r="I643"/>
      <c r="J643"/>
      <c r="K643"/>
      <c r="L643"/>
      <c r="M643"/>
      <c r="N643"/>
      <c r="O643"/>
      <c r="P643"/>
      <c r="Q643"/>
    </row>
    <row r="644" spans="6:17" x14ac:dyDescent="0.3">
      <c r="F644"/>
      <c r="G644"/>
      <c r="H644"/>
      <c r="I644"/>
      <c r="J644"/>
      <c r="K644"/>
      <c r="L644"/>
      <c r="M644"/>
      <c r="N644"/>
      <c r="O644"/>
      <c r="P644"/>
      <c r="Q644"/>
    </row>
    <row r="645" spans="6:17" x14ac:dyDescent="0.3">
      <c r="F645"/>
      <c r="G645"/>
      <c r="H645"/>
      <c r="I645"/>
      <c r="J645"/>
      <c r="K645"/>
      <c r="L645"/>
      <c r="M645"/>
      <c r="N645"/>
      <c r="O645"/>
      <c r="P645"/>
      <c r="Q645"/>
    </row>
    <row r="646" spans="6:17" x14ac:dyDescent="0.3">
      <c r="F646"/>
      <c r="G646"/>
      <c r="H646"/>
      <c r="I646"/>
      <c r="J646"/>
      <c r="K646"/>
      <c r="L646"/>
      <c r="M646"/>
      <c r="N646"/>
      <c r="O646"/>
      <c r="P646"/>
      <c r="Q646"/>
    </row>
    <row r="647" spans="6:17" x14ac:dyDescent="0.3">
      <c r="F647"/>
      <c r="G647"/>
      <c r="H647"/>
      <c r="I647"/>
      <c r="J647"/>
      <c r="K647"/>
      <c r="L647"/>
      <c r="M647"/>
      <c r="N647"/>
      <c r="O647"/>
      <c r="P647"/>
      <c r="Q647"/>
    </row>
    <row r="648" spans="6:17" x14ac:dyDescent="0.3">
      <c r="F648"/>
      <c r="G648"/>
      <c r="H648"/>
      <c r="I648"/>
      <c r="J648"/>
      <c r="K648"/>
      <c r="L648"/>
      <c r="M648"/>
      <c r="N648"/>
      <c r="O648"/>
      <c r="P648"/>
      <c r="Q648"/>
    </row>
    <row r="649" spans="6:17" x14ac:dyDescent="0.3">
      <c r="F649"/>
      <c r="G649"/>
      <c r="H649"/>
      <c r="I649"/>
      <c r="J649"/>
      <c r="K649"/>
      <c r="L649"/>
      <c r="M649"/>
      <c r="N649"/>
      <c r="O649"/>
      <c r="P649"/>
      <c r="Q649"/>
    </row>
    <row r="650" spans="6:17" x14ac:dyDescent="0.3">
      <c r="F650"/>
      <c r="G650"/>
      <c r="H650"/>
      <c r="I650"/>
      <c r="J650"/>
      <c r="K650"/>
      <c r="L650"/>
      <c r="M650"/>
      <c r="N650"/>
      <c r="O650"/>
      <c r="P650"/>
      <c r="Q650"/>
    </row>
    <row r="651" spans="6:17" x14ac:dyDescent="0.3">
      <c r="F651"/>
      <c r="G651"/>
      <c r="H651"/>
      <c r="I651"/>
      <c r="J651"/>
      <c r="K651"/>
      <c r="L651"/>
      <c r="M651"/>
      <c r="N651"/>
      <c r="O651"/>
      <c r="P651"/>
      <c r="Q651"/>
    </row>
    <row r="652" spans="6:17" x14ac:dyDescent="0.3">
      <c r="F652"/>
      <c r="G652"/>
      <c r="H652"/>
      <c r="I652"/>
      <c r="J652"/>
      <c r="K652"/>
      <c r="L652"/>
      <c r="M652"/>
      <c r="N652"/>
      <c r="O652"/>
      <c r="P652"/>
      <c r="Q652"/>
    </row>
    <row r="653" spans="6:17" x14ac:dyDescent="0.3">
      <c r="F653"/>
      <c r="G653"/>
      <c r="H653"/>
      <c r="I653"/>
      <c r="J653"/>
      <c r="K653"/>
      <c r="L653"/>
      <c r="M653"/>
      <c r="N653"/>
      <c r="O653"/>
      <c r="P653"/>
      <c r="Q653"/>
    </row>
    <row r="654" spans="6:17" x14ac:dyDescent="0.3">
      <c r="F654"/>
      <c r="G654"/>
      <c r="H654"/>
      <c r="I654"/>
      <c r="J654"/>
      <c r="K654"/>
      <c r="L654"/>
      <c r="M654"/>
      <c r="N654"/>
      <c r="O654"/>
      <c r="P654"/>
      <c r="Q654"/>
    </row>
    <row r="655" spans="6:17" x14ac:dyDescent="0.3">
      <c r="F655"/>
      <c r="G655"/>
      <c r="H655"/>
      <c r="I655"/>
      <c r="J655"/>
      <c r="K655"/>
      <c r="L655"/>
      <c r="M655"/>
      <c r="N655"/>
      <c r="O655"/>
      <c r="P655"/>
      <c r="Q655"/>
    </row>
    <row r="656" spans="6:17" x14ac:dyDescent="0.3">
      <c r="F656"/>
      <c r="G656"/>
      <c r="H656"/>
      <c r="I656"/>
      <c r="J656"/>
      <c r="K656"/>
      <c r="L656"/>
      <c r="M656"/>
      <c r="N656"/>
      <c r="O656"/>
      <c r="P656"/>
      <c r="Q656"/>
    </row>
    <row r="657" spans="6:17" x14ac:dyDescent="0.3">
      <c r="F657"/>
      <c r="G657"/>
      <c r="H657"/>
      <c r="I657"/>
      <c r="J657"/>
      <c r="K657"/>
      <c r="L657"/>
      <c r="M657"/>
      <c r="N657"/>
      <c r="O657"/>
      <c r="P657"/>
      <c r="Q657"/>
    </row>
    <row r="658" spans="6:17" x14ac:dyDescent="0.3">
      <c r="F658"/>
      <c r="G658"/>
      <c r="H658"/>
      <c r="I658"/>
      <c r="J658"/>
      <c r="K658"/>
      <c r="L658"/>
      <c r="M658"/>
      <c r="N658"/>
      <c r="O658"/>
      <c r="P658"/>
      <c r="Q658"/>
    </row>
    <row r="659" spans="6:17" x14ac:dyDescent="0.3">
      <c r="F659"/>
      <c r="G659"/>
      <c r="H659"/>
      <c r="I659"/>
      <c r="J659"/>
      <c r="K659"/>
      <c r="L659"/>
      <c r="M659"/>
      <c r="N659"/>
      <c r="O659"/>
      <c r="P659"/>
      <c r="Q659"/>
    </row>
    <row r="660" spans="6:17" x14ac:dyDescent="0.3">
      <c r="F660"/>
      <c r="G660"/>
      <c r="H660"/>
      <c r="I660"/>
      <c r="J660"/>
      <c r="K660"/>
      <c r="L660"/>
      <c r="M660"/>
      <c r="N660"/>
      <c r="O660"/>
      <c r="P660"/>
      <c r="Q660"/>
    </row>
    <row r="661" spans="6:17" x14ac:dyDescent="0.3">
      <c r="F661"/>
      <c r="G661"/>
      <c r="H661"/>
      <c r="I661"/>
      <c r="J661"/>
      <c r="K661"/>
      <c r="L661"/>
      <c r="M661"/>
      <c r="N661"/>
      <c r="O661"/>
      <c r="P661"/>
      <c r="Q661"/>
    </row>
    <row r="662" spans="6:17" x14ac:dyDescent="0.3">
      <c r="F662"/>
      <c r="G662"/>
      <c r="H662"/>
      <c r="I662"/>
      <c r="J662"/>
      <c r="K662"/>
      <c r="L662"/>
      <c r="M662"/>
      <c r="N662"/>
      <c r="O662"/>
      <c r="P662"/>
      <c r="Q662"/>
    </row>
    <row r="663" spans="6:17" x14ac:dyDescent="0.3">
      <c r="F663"/>
      <c r="G663"/>
      <c r="H663"/>
      <c r="I663"/>
      <c r="J663"/>
      <c r="K663"/>
      <c r="L663"/>
      <c r="M663"/>
      <c r="N663"/>
      <c r="O663"/>
      <c r="P663"/>
      <c r="Q663"/>
    </row>
    <row r="664" spans="6:17" x14ac:dyDescent="0.3">
      <c r="F664"/>
      <c r="G664"/>
      <c r="H664"/>
      <c r="I664"/>
      <c r="J664"/>
      <c r="K664"/>
      <c r="L664"/>
      <c r="M664"/>
      <c r="N664"/>
      <c r="O664"/>
      <c r="P664"/>
      <c r="Q664"/>
    </row>
    <row r="665" spans="6:17" x14ac:dyDescent="0.3">
      <c r="F665"/>
      <c r="G665"/>
      <c r="H665"/>
      <c r="I665"/>
      <c r="J665"/>
      <c r="K665"/>
      <c r="L665"/>
      <c r="M665"/>
      <c r="N665"/>
      <c r="O665"/>
      <c r="P665"/>
      <c r="Q665"/>
    </row>
    <row r="666" spans="6:17" x14ac:dyDescent="0.3">
      <c r="F666"/>
      <c r="G666"/>
      <c r="H666"/>
      <c r="I666"/>
      <c r="J666"/>
      <c r="K666"/>
      <c r="L666"/>
      <c r="M666"/>
      <c r="N666"/>
      <c r="O666"/>
      <c r="P666"/>
      <c r="Q666"/>
    </row>
    <row r="667" spans="6:17" x14ac:dyDescent="0.3">
      <c r="F667"/>
      <c r="G667"/>
      <c r="H667"/>
      <c r="I667"/>
      <c r="J667"/>
      <c r="K667"/>
      <c r="L667"/>
      <c r="M667"/>
      <c r="N667"/>
      <c r="O667"/>
      <c r="P667"/>
      <c r="Q667"/>
    </row>
    <row r="668" spans="6:17" x14ac:dyDescent="0.3">
      <c r="F668"/>
      <c r="G668"/>
      <c r="H668"/>
      <c r="I668"/>
      <c r="J668"/>
      <c r="K668"/>
      <c r="L668"/>
      <c r="M668"/>
      <c r="N668"/>
      <c r="O668"/>
      <c r="P668"/>
      <c r="Q668"/>
    </row>
    <row r="669" spans="6:17" x14ac:dyDescent="0.3">
      <c r="F669"/>
      <c r="G669"/>
      <c r="H669"/>
      <c r="I669"/>
      <c r="J669"/>
      <c r="K669"/>
      <c r="L669"/>
      <c r="M669"/>
      <c r="N669"/>
      <c r="O669"/>
      <c r="P669"/>
      <c r="Q669"/>
    </row>
    <row r="670" spans="6:17" x14ac:dyDescent="0.3">
      <c r="F670"/>
      <c r="G670"/>
      <c r="H670"/>
      <c r="I670"/>
      <c r="J670"/>
      <c r="K670"/>
      <c r="L670"/>
      <c r="M670"/>
      <c r="N670"/>
      <c r="O670"/>
      <c r="P670"/>
      <c r="Q670"/>
    </row>
    <row r="671" spans="6:17" x14ac:dyDescent="0.3">
      <c r="F671"/>
      <c r="G671"/>
      <c r="H671"/>
      <c r="I671"/>
      <c r="J671"/>
      <c r="K671"/>
      <c r="L671"/>
      <c r="M671"/>
      <c r="N671"/>
      <c r="O671"/>
      <c r="P671"/>
      <c r="Q671"/>
    </row>
    <row r="672" spans="6:17" x14ac:dyDescent="0.3">
      <c r="F672"/>
      <c r="G672"/>
      <c r="H672"/>
      <c r="I672"/>
      <c r="J672"/>
      <c r="K672"/>
      <c r="L672"/>
      <c r="M672"/>
      <c r="N672"/>
      <c r="O672"/>
      <c r="P672"/>
      <c r="Q672"/>
    </row>
    <row r="673" spans="6:17" x14ac:dyDescent="0.3">
      <c r="F673"/>
      <c r="G673"/>
      <c r="H673"/>
      <c r="I673"/>
      <c r="J673"/>
      <c r="K673"/>
      <c r="L673"/>
      <c r="M673"/>
      <c r="N673"/>
      <c r="O673"/>
      <c r="P673"/>
      <c r="Q673"/>
    </row>
    <row r="674" spans="6:17" x14ac:dyDescent="0.3">
      <c r="F674"/>
      <c r="G674"/>
      <c r="H674"/>
      <c r="I674"/>
      <c r="J674"/>
      <c r="K674"/>
      <c r="L674"/>
      <c r="M674"/>
      <c r="N674"/>
      <c r="O674"/>
      <c r="P674"/>
      <c r="Q674"/>
    </row>
    <row r="675" spans="6:17" x14ac:dyDescent="0.3">
      <c r="F675"/>
      <c r="G675"/>
      <c r="H675"/>
      <c r="I675"/>
      <c r="J675"/>
      <c r="K675"/>
      <c r="L675"/>
      <c r="M675"/>
      <c r="N675"/>
      <c r="O675"/>
      <c r="P675"/>
      <c r="Q675"/>
    </row>
    <row r="676" spans="6:17" x14ac:dyDescent="0.3">
      <c r="F676"/>
      <c r="G676"/>
      <c r="H676"/>
      <c r="I676"/>
      <c r="J676"/>
      <c r="K676"/>
      <c r="L676"/>
      <c r="M676"/>
      <c r="N676"/>
      <c r="O676"/>
      <c r="P676"/>
      <c r="Q676"/>
    </row>
    <row r="677" spans="6:17" x14ac:dyDescent="0.3">
      <c r="F677"/>
      <c r="G677"/>
      <c r="H677"/>
      <c r="I677"/>
      <c r="J677"/>
      <c r="K677"/>
      <c r="L677"/>
      <c r="M677"/>
      <c r="N677"/>
      <c r="O677"/>
      <c r="P677"/>
      <c r="Q677"/>
    </row>
    <row r="678" spans="6:17" x14ac:dyDescent="0.3">
      <c r="F678"/>
      <c r="G678"/>
      <c r="H678"/>
      <c r="I678"/>
      <c r="J678"/>
      <c r="K678"/>
      <c r="L678"/>
      <c r="M678"/>
      <c r="N678"/>
      <c r="O678"/>
      <c r="P678"/>
      <c r="Q678"/>
    </row>
    <row r="679" spans="6:17" x14ac:dyDescent="0.3">
      <c r="F679"/>
      <c r="G679"/>
      <c r="H679"/>
      <c r="I679"/>
      <c r="J679"/>
      <c r="K679"/>
      <c r="L679"/>
      <c r="M679"/>
      <c r="N679"/>
      <c r="O679"/>
      <c r="P679"/>
      <c r="Q679"/>
    </row>
    <row r="680" spans="6:17" x14ac:dyDescent="0.3">
      <c r="F680"/>
      <c r="G680"/>
      <c r="H680"/>
      <c r="I680"/>
      <c r="J680"/>
      <c r="K680"/>
      <c r="L680"/>
      <c r="M680"/>
      <c r="N680"/>
      <c r="O680"/>
      <c r="P680"/>
      <c r="Q680"/>
    </row>
    <row r="681" spans="6:17" x14ac:dyDescent="0.3">
      <c r="F681"/>
      <c r="G681"/>
      <c r="H681"/>
      <c r="I681"/>
      <c r="J681"/>
      <c r="K681"/>
      <c r="L681"/>
      <c r="M681"/>
      <c r="N681"/>
      <c r="O681"/>
      <c r="P681"/>
      <c r="Q681"/>
    </row>
    <row r="682" spans="6:17" x14ac:dyDescent="0.3">
      <c r="F682"/>
      <c r="G682"/>
      <c r="H682"/>
      <c r="I682"/>
      <c r="J682"/>
      <c r="K682"/>
      <c r="L682"/>
      <c r="M682"/>
      <c r="N682"/>
      <c r="O682"/>
      <c r="P682"/>
      <c r="Q682"/>
    </row>
    <row r="683" spans="6:17" x14ac:dyDescent="0.3">
      <c r="F683"/>
      <c r="G683"/>
      <c r="H683"/>
      <c r="I683"/>
      <c r="J683"/>
      <c r="K683"/>
      <c r="L683"/>
      <c r="M683"/>
      <c r="N683"/>
      <c r="O683"/>
      <c r="P683"/>
      <c r="Q683"/>
    </row>
    <row r="684" spans="6:17" x14ac:dyDescent="0.3">
      <c r="F684"/>
      <c r="G684"/>
      <c r="H684"/>
      <c r="I684"/>
      <c r="J684"/>
      <c r="K684"/>
      <c r="L684"/>
      <c r="M684"/>
      <c r="N684"/>
      <c r="O684"/>
      <c r="P684"/>
      <c r="Q684"/>
    </row>
    <row r="685" spans="6:17" x14ac:dyDescent="0.3">
      <c r="F685"/>
      <c r="G685"/>
      <c r="H685"/>
      <c r="I685"/>
      <c r="J685"/>
      <c r="K685"/>
      <c r="L685"/>
      <c r="M685"/>
      <c r="N685"/>
      <c r="O685"/>
      <c r="P685"/>
      <c r="Q685"/>
    </row>
    <row r="686" spans="6:17" x14ac:dyDescent="0.3">
      <c r="F686"/>
      <c r="G686"/>
      <c r="H686"/>
      <c r="I686"/>
      <c r="J686"/>
      <c r="K686"/>
      <c r="L686"/>
      <c r="M686"/>
      <c r="N686"/>
      <c r="O686"/>
      <c r="P686"/>
      <c r="Q686"/>
    </row>
    <row r="687" spans="6:17" x14ac:dyDescent="0.3">
      <c r="F687"/>
      <c r="G687"/>
      <c r="H687"/>
      <c r="I687"/>
      <c r="J687"/>
      <c r="K687"/>
      <c r="L687"/>
      <c r="M687"/>
      <c r="N687"/>
      <c r="O687"/>
      <c r="P687"/>
      <c r="Q687"/>
    </row>
    <row r="688" spans="6:17" x14ac:dyDescent="0.3">
      <c r="F688"/>
      <c r="G688"/>
      <c r="H688"/>
      <c r="I688"/>
      <c r="J688"/>
      <c r="K688"/>
      <c r="L688"/>
      <c r="M688"/>
      <c r="N688"/>
      <c r="O688"/>
      <c r="P688"/>
      <c r="Q688"/>
    </row>
    <row r="689" spans="6:17" x14ac:dyDescent="0.3">
      <c r="F689"/>
      <c r="G689"/>
      <c r="H689"/>
      <c r="I689"/>
      <c r="J689"/>
      <c r="K689"/>
      <c r="L689"/>
      <c r="M689"/>
      <c r="N689"/>
      <c r="O689"/>
      <c r="P689"/>
      <c r="Q689"/>
    </row>
    <row r="690" spans="6:17" x14ac:dyDescent="0.3">
      <c r="F690"/>
      <c r="G690"/>
      <c r="H690"/>
      <c r="I690"/>
      <c r="J690"/>
      <c r="K690"/>
      <c r="L690"/>
      <c r="M690"/>
      <c r="N690"/>
      <c r="O690"/>
      <c r="P690"/>
      <c r="Q690"/>
    </row>
    <row r="691" spans="6:17" x14ac:dyDescent="0.3">
      <c r="F691"/>
      <c r="G691"/>
      <c r="H691"/>
      <c r="I691"/>
      <c r="J691"/>
      <c r="K691"/>
      <c r="L691"/>
      <c r="M691"/>
      <c r="N691"/>
      <c r="O691"/>
      <c r="P691"/>
      <c r="Q691"/>
    </row>
    <row r="692" spans="6:17" x14ac:dyDescent="0.3">
      <c r="F692"/>
      <c r="G692"/>
      <c r="H692"/>
      <c r="I692"/>
      <c r="J692"/>
      <c r="K692"/>
      <c r="L692"/>
      <c r="M692"/>
      <c r="N692"/>
      <c r="O692"/>
      <c r="P692"/>
      <c r="Q692"/>
    </row>
    <row r="693" spans="6:17" x14ac:dyDescent="0.3">
      <c r="F693"/>
      <c r="G693"/>
      <c r="H693"/>
      <c r="I693"/>
      <c r="J693"/>
      <c r="K693"/>
      <c r="L693"/>
      <c r="M693"/>
      <c r="N693"/>
      <c r="O693"/>
      <c r="P693"/>
      <c r="Q693"/>
    </row>
    <row r="694" spans="6:17" x14ac:dyDescent="0.3">
      <c r="F694"/>
      <c r="G694"/>
      <c r="H694"/>
      <c r="I694"/>
      <c r="J694"/>
      <c r="K694"/>
      <c r="L694"/>
      <c r="M694"/>
      <c r="N694"/>
      <c r="O694"/>
      <c r="P694"/>
      <c r="Q694"/>
    </row>
    <row r="695" spans="6:17" x14ac:dyDescent="0.3">
      <c r="F695"/>
      <c r="G695"/>
      <c r="H695"/>
      <c r="I695"/>
      <c r="J695"/>
      <c r="K695"/>
      <c r="L695"/>
      <c r="M695"/>
      <c r="N695"/>
      <c r="O695"/>
      <c r="P695"/>
      <c r="Q695"/>
    </row>
    <row r="696" spans="6:17" x14ac:dyDescent="0.3">
      <c r="F696"/>
      <c r="G696"/>
      <c r="H696"/>
      <c r="I696"/>
      <c r="J696"/>
      <c r="K696"/>
      <c r="L696"/>
      <c r="M696"/>
      <c r="N696"/>
      <c r="O696"/>
      <c r="P696"/>
      <c r="Q696"/>
    </row>
    <row r="697" spans="6:17" x14ac:dyDescent="0.3">
      <c r="F697"/>
      <c r="G697"/>
      <c r="H697"/>
      <c r="I697"/>
      <c r="J697"/>
      <c r="K697"/>
      <c r="L697"/>
      <c r="M697"/>
      <c r="N697"/>
      <c r="O697"/>
      <c r="P697"/>
      <c r="Q697"/>
    </row>
    <row r="698" spans="6:17" x14ac:dyDescent="0.3">
      <c r="F698"/>
      <c r="G698"/>
      <c r="H698"/>
      <c r="I698"/>
      <c r="J698"/>
      <c r="K698"/>
      <c r="L698"/>
      <c r="M698"/>
      <c r="N698"/>
      <c r="O698"/>
      <c r="P698"/>
      <c r="Q698"/>
    </row>
    <row r="699" spans="6:17" x14ac:dyDescent="0.3">
      <c r="F699"/>
      <c r="G699"/>
      <c r="H699"/>
      <c r="I699"/>
      <c r="J699"/>
      <c r="K699"/>
      <c r="L699"/>
      <c r="M699"/>
      <c r="N699"/>
      <c r="O699"/>
      <c r="P699"/>
      <c r="Q699"/>
    </row>
    <row r="700" spans="6:17" x14ac:dyDescent="0.3">
      <c r="F700"/>
      <c r="G700"/>
      <c r="H700"/>
      <c r="I700"/>
      <c r="J700"/>
      <c r="K700"/>
      <c r="L700"/>
      <c r="M700"/>
      <c r="N700"/>
      <c r="O700"/>
      <c r="P700"/>
      <c r="Q700"/>
    </row>
    <row r="701" spans="6:17" x14ac:dyDescent="0.3">
      <c r="F701"/>
      <c r="G701"/>
      <c r="H701"/>
      <c r="I701"/>
      <c r="J701"/>
      <c r="K701"/>
      <c r="L701"/>
      <c r="M701"/>
      <c r="N701"/>
      <c r="O701"/>
      <c r="P701"/>
      <c r="Q701"/>
    </row>
    <row r="702" spans="6:17" x14ac:dyDescent="0.3">
      <c r="F702"/>
      <c r="G702"/>
      <c r="H702"/>
      <c r="I702"/>
      <c r="J702"/>
      <c r="K702"/>
      <c r="L702"/>
      <c r="M702"/>
      <c r="N702"/>
      <c r="O702"/>
      <c r="P702"/>
      <c r="Q702"/>
    </row>
    <row r="703" spans="6:17" x14ac:dyDescent="0.3">
      <c r="F703"/>
      <c r="G703"/>
      <c r="H703"/>
      <c r="I703"/>
      <c r="J703"/>
      <c r="K703"/>
      <c r="L703"/>
      <c r="M703"/>
      <c r="N703"/>
      <c r="O703"/>
      <c r="P703"/>
      <c r="Q703"/>
    </row>
    <row r="704" spans="6:17" x14ac:dyDescent="0.3">
      <c r="F704"/>
      <c r="G704"/>
      <c r="H704"/>
      <c r="I704"/>
      <c r="J704"/>
      <c r="K704"/>
      <c r="L704"/>
      <c r="M704"/>
      <c r="N704"/>
      <c r="O704"/>
      <c r="P704"/>
      <c r="Q704"/>
    </row>
    <row r="705" spans="6:17" x14ac:dyDescent="0.3">
      <c r="F705"/>
      <c r="G705"/>
      <c r="H705"/>
      <c r="I705"/>
      <c r="J705"/>
      <c r="K705"/>
      <c r="L705"/>
      <c r="M705"/>
      <c r="N705"/>
      <c r="O705"/>
      <c r="P705"/>
      <c r="Q705"/>
    </row>
    <row r="706" spans="6:17" x14ac:dyDescent="0.3">
      <c r="F706"/>
      <c r="G706"/>
      <c r="H706"/>
      <c r="I706"/>
      <c r="J706"/>
      <c r="K706"/>
      <c r="L706"/>
      <c r="M706"/>
      <c r="N706"/>
      <c r="O706"/>
      <c r="P706"/>
      <c r="Q706"/>
    </row>
    <row r="707" spans="6:17" x14ac:dyDescent="0.3">
      <c r="F707"/>
      <c r="G707"/>
      <c r="H707"/>
      <c r="I707"/>
      <c r="J707"/>
      <c r="K707"/>
      <c r="L707"/>
      <c r="M707"/>
      <c r="N707"/>
      <c r="O707"/>
      <c r="P707"/>
      <c r="Q707"/>
    </row>
    <row r="708" spans="6:17" x14ac:dyDescent="0.3">
      <c r="F708"/>
      <c r="G708"/>
      <c r="H708"/>
      <c r="I708"/>
      <c r="J708"/>
      <c r="K708"/>
      <c r="L708"/>
      <c r="M708"/>
      <c r="N708"/>
      <c r="O708"/>
      <c r="P708"/>
      <c r="Q708"/>
    </row>
    <row r="709" spans="6:17" x14ac:dyDescent="0.3">
      <c r="F709"/>
      <c r="G709"/>
      <c r="H709"/>
      <c r="I709"/>
      <c r="J709"/>
      <c r="K709"/>
      <c r="L709"/>
      <c r="M709"/>
      <c r="N709"/>
      <c r="O709"/>
      <c r="P709"/>
      <c r="Q709"/>
    </row>
    <row r="710" spans="6:17" x14ac:dyDescent="0.3">
      <c r="F710"/>
      <c r="G710"/>
      <c r="H710"/>
      <c r="I710"/>
      <c r="J710"/>
      <c r="K710"/>
      <c r="L710"/>
      <c r="M710"/>
      <c r="N710"/>
      <c r="O710"/>
      <c r="P710"/>
      <c r="Q710"/>
    </row>
    <row r="711" spans="6:17" x14ac:dyDescent="0.3">
      <c r="F711"/>
      <c r="G711"/>
      <c r="H711"/>
      <c r="I711"/>
      <c r="J711"/>
      <c r="K711"/>
      <c r="L711"/>
      <c r="M711"/>
      <c r="N711"/>
      <c r="O711"/>
      <c r="P711"/>
      <c r="Q711"/>
    </row>
    <row r="712" spans="6:17" x14ac:dyDescent="0.3">
      <c r="F712"/>
      <c r="G712"/>
      <c r="H712"/>
      <c r="I712"/>
      <c r="J712"/>
      <c r="K712"/>
      <c r="L712"/>
      <c r="M712"/>
      <c r="N712"/>
      <c r="O712"/>
      <c r="P712"/>
      <c r="Q712"/>
    </row>
    <row r="713" spans="6:17" x14ac:dyDescent="0.3">
      <c r="F713"/>
      <c r="G713"/>
      <c r="H713"/>
      <c r="I713"/>
      <c r="J713"/>
      <c r="K713"/>
      <c r="L713"/>
      <c r="M713"/>
      <c r="N713"/>
      <c r="O713"/>
      <c r="P713"/>
      <c r="Q713"/>
    </row>
    <row r="714" spans="6:17" x14ac:dyDescent="0.3">
      <c r="F714"/>
      <c r="G714"/>
      <c r="H714"/>
      <c r="I714"/>
      <c r="J714"/>
      <c r="K714"/>
      <c r="L714"/>
      <c r="M714"/>
      <c r="N714"/>
      <c r="O714"/>
      <c r="P714"/>
      <c r="Q714"/>
    </row>
    <row r="715" spans="6:17" x14ac:dyDescent="0.3">
      <c r="F715"/>
      <c r="G715"/>
      <c r="H715"/>
      <c r="I715"/>
      <c r="J715"/>
      <c r="K715"/>
      <c r="L715"/>
      <c r="M715"/>
      <c r="N715"/>
      <c r="O715"/>
      <c r="P715"/>
      <c r="Q715"/>
    </row>
    <row r="716" spans="6:17" x14ac:dyDescent="0.3">
      <c r="F716"/>
      <c r="G716"/>
      <c r="H716"/>
      <c r="I716"/>
      <c r="J716"/>
      <c r="K716"/>
      <c r="L716"/>
      <c r="M716"/>
      <c r="N716"/>
      <c r="O716"/>
      <c r="P716"/>
      <c r="Q716"/>
    </row>
    <row r="717" spans="6:17" x14ac:dyDescent="0.3">
      <c r="F717"/>
      <c r="G717"/>
      <c r="H717"/>
      <c r="I717"/>
      <c r="J717"/>
      <c r="K717"/>
      <c r="L717"/>
      <c r="M717"/>
      <c r="N717"/>
      <c r="O717"/>
      <c r="P717"/>
      <c r="Q717"/>
    </row>
    <row r="718" spans="6:17" x14ac:dyDescent="0.3">
      <c r="F718"/>
      <c r="G718"/>
      <c r="H718"/>
      <c r="I718"/>
      <c r="J718"/>
      <c r="K718"/>
      <c r="L718"/>
      <c r="M718"/>
      <c r="N718"/>
      <c r="O718"/>
      <c r="P718"/>
      <c r="Q718"/>
    </row>
    <row r="719" spans="6:17" x14ac:dyDescent="0.3">
      <c r="F719"/>
      <c r="G719"/>
      <c r="H719"/>
      <c r="I719"/>
      <c r="J719"/>
      <c r="K719"/>
      <c r="L719"/>
      <c r="M719"/>
      <c r="N719"/>
      <c r="O719"/>
      <c r="P719"/>
      <c r="Q719"/>
    </row>
    <row r="720" spans="6:17" x14ac:dyDescent="0.3">
      <c r="F720"/>
      <c r="G720"/>
      <c r="H720"/>
      <c r="I720"/>
      <c r="J720"/>
      <c r="K720"/>
      <c r="L720"/>
      <c r="M720"/>
      <c r="N720"/>
      <c r="O720"/>
      <c r="P720"/>
      <c r="Q720"/>
    </row>
    <row r="721" spans="6:17" x14ac:dyDescent="0.3">
      <c r="F721"/>
      <c r="G721"/>
      <c r="H721"/>
      <c r="I721"/>
      <c r="J721"/>
      <c r="K721"/>
      <c r="L721"/>
      <c r="M721"/>
      <c r="N721"/>
      <c r="O721"/>
      <c r="P721"/>
      <c r="Q721"/>
    </row>
    <row r="722" spans="6:17" x14ac:dyDescent="0.3">
      <c r="F722"/>
      <c r="G722"/>
      <c r="H722"/>
      <c r="I722"/>
      <c r="J722"/>
      <c r="K722"/>
      <c r="L722"/>
      <c r="M722"/>
      <c r="N722"/>
      <c r="O722"/>
      <c r="P722"/>
      <c r="Q722"/>
    </row>
    <row r="723" spans="6:17" x14ac:dyDescent="0.3">
      <c r="F723"/>
      <c r="G723"/>
      <c r="H723"/>
      <c r="I723"/>
      <c r="J723"/>
      <c r="K723"/>
      <c r="L723"/>
      <c r="M723"/>
      <c r="N723"/>
      <c r="O723"/>
      <c r="P723"/>
      <c r="Q723"/>
    </row>
    <row r="724" spans="6:17" x14ac:dyDescent="0.3">
      <c r="F724"/>
      <c r="G724"/>
      <c r="H724"/>
      <c r="I724"/>
      <c r="J724"/>
      <c r="K724"/>
      <c r="L724"/>
      <c r="M724"/>
      <c r="N724"/>
      <c r="O724"/>
      <c r="P724"/>
      <c r="Q724"/>
    </row>
    <row r="725" spans="6:17" x14ac:dyDescent="0.3">
      <c r="F725"/>
      <c r="G725"/>
      <c r="H725"/>
      <c r="I725"/>
      <c r="J725"/>
      <c r="K725"/>
      <c r="L725"/>
      <c r="M725"/>
      <c r="N725"/>
      <c r="O725"/>
      <c r="P725"/>
      <c r="Q725"/>
    </row>
    <row r="726" spans="6:17" x14ac:dyDescent="0.3">
      <c r="F726"/>
      <c r="G726"/>
      <c r="H726"/>
      <c r="I726"/>
      <c r="J726"/>
      <c r="K726"/>
      <c r="L726"/>
      <c r="M726"/>
      <c r="N726"/>
      <c r="O726"/>
      <c r="P726"/>
      <c r="Q726"/>
    </row>
    <row r="727" spans="6:17" x14ac:dyDescent="0.3">
      <c r="F727"/>
      <c r="G727"/>
      <c r="H727"/>
      <c r="I727"/>
      <c r="J727"/>
      <c r="K727"/>
      <c r="L727"/>
      <c r="M727"/>
      <c r="N727"/>
      <c r="O727"/>
      <c r="P727"/>
      <c r="Q727"/>
    </row>
    <row r="728" spans="6:17" x14ac:dyDescent="0.3">
      <c r="F728"/>
      <c r="G728"/>
      <c r="H728"/>
      <c r="I728"/>
      <c r="J728"/>
      <c r="K728"/>
      <c r="L728"/>
      <c r="M728"/>
      <c r="N728"/>
      <c r="O728"/>
      <c r="P728"/>
      <c r="Q728"/>
    </row>
    <row r="729" spans="6:17" x14ac:dyDescent="0.3">
      <c r="F729"/>
      <c r="G729"/>
      <c r="H729"/>
      <c r="I729"/>
      <c r="J729"/>
      <c r="K729"/>
      <c r="L729"/>
      <c r="M729"/>
      <c r="N729"/>
      <c r="O729"/>
      <c r="P729"/>
      <c r="Q729"/>
    </row>
    <row r="730" spans="6:17" x14ac:dyDescent="0.3">
      <c r="F730"/>
      <c r="G730"/>
      <c r="H730"/>
      <c r="I730"/>
      <c r="J730"/>
      <c r="K730"/>
      <c r="L730"/>
      <c r="M730"/>
      <c r="N730"/>
      <c r="O730"/>
      <c r="P730"/>
      <c r="Q730"/>
    </row>
    <row r="731" spans="6:17" x14ac:dyDescent="0.3">
      <c r="F731"/>
      <c r="G731"/>
      <c r="H731"/>
      <c r="I731"/>
      <c r="J731"/>
      <c r="K731"/>
      <c r="L731"/>
      <c r="M731"/>
      <c r="N731"/>
      <c r="O731"/>
      <c r="P731"/>
      <c r="Q731"/>
    </row>
    <row r="732" spans="6:17" x14ac:dyDescent="0.3">
      <c r="F732"/>
      <c r="G732"/>
      <c r="H732"/>
      <c r="I732"/>
      <c r="J732"/>
      <c r="K732"/>
      <c r="L732"/>
      <c r="M732"/>
      <c r="N732"/>
      <c r="O732"/>
      <c r="P732"/>
      <c r="Q732"/>
    </row>
    <row r="733" spans="6:17" x14ac:dyDescent="0.3">
      <c r="F733"/>
      <c r="G733"/>
      <c r="H733"/>
      <c r="I733"/>
      <c r="J733"/>
      <c r="K733"/>
      <c r="L733"/>
      <c r="M733"/>
      <c r="N733"/>
      <c r="O733"/>
      <c r="P733"/>
      <c r="Q733"/>
    </row>
    <row r="734" spans="6:17" x14ac:dyDescent="0.3">
      <c r="F734"/>
      <c r="G734"/>
      <c r="H734"/>
      <c r="I734"/>
      <c r="J734"/>
      <c r="K734"/>
      <c r="L734"/>
      <c r="M734"/>
      <c r="N734"/>
      <c r="O734"/>
      <c r="P734"/>
      <c r="Q734"/>
    </row>
    <row r="735" spans="6:17" x14ac:dyDescent="0.3">
      <c r="F735"/>
      <c r="G735"/>
      <c r="H735"/>
      <c r="I735"/>
      <c r="J735"/>
      <c r="K735"/>
      <c r="L735"/>
      <c r="M735"/>
      <c r="N735"/>
      <c r="O735"/>
      <c r="P735"/>
      <c r="Q735"/>
    </row>
    <row r="736" spans="6:17" x14ac:dyDescent="0.3">
      <c r="F736"/>
      <c r="G736"/>
      <c r="H736"/>
      <c r="I736"/>
      <c r="J736"/>
      <c r="K736"/>
      <c r="L736"/>
      <c r="M736"/>
      <c r="N736"/>
      <c r="O736"/>
      <c r="P736"/>
      <c r="Q736"/>
    </row>
    <row r="737" spans="6:17" x14ac:dyDescent="0.3">
      <c r="F737"/>
      <c r="G737"/>
      <c r="H737"/>
      <c r="I737"/>
      <c r="J737"/>
      <c r="K737"/>
      <c r="L737"/>
      <c r="M737"/>
      <c r="N737"/>
      <c r="O737"/>
      <c r="P737"/>
      <c r="Q737"/>
    </row>
    <row r="738" spans="6:17" x14ac:dyDescent="0.3">
      <c r="F738"/>
      <c r="G738"/>
      <c r="H738"/>
      <c r="I738"/>
      <c r="J738"/>
      <c r="K738"/>
      <c r="L738"/>
      <c r="M738"/>
      <c r="N738"/>
      <c r="O738"/>
      <c r="P738"/>
      <c r="Q738"/>
    </row>
    <row r="739" spans="6:17" x14ac:dyDescent="0.3">
      <c r="F739"/>
      <c r="G739"/>
      <c r="H739"/>
      <c r="I739"/>
      <c r="J739"/>
      <c r="K739"/>
      <c r="L739"/>
      <c r="M739"/>
      <c r="N739"/>
      <c r="O739"/>
      <c r="P739"/>
      <c r="Q739"/>
    </row>
    <row r="740" spans="6:17" x14ac:dyDescent="0.3">
      <c r="F740"/>
      <c r="G740"/>
      <c r="H740"/>
      <c r="I740"/>
      <c r="J740"/>
      <c r="K740"/>
      <c r="L740"/>
      <c r="M740"/>
      <c r="N740"/>
      <c r="O740"/>
      <c r="P740"/>
      <c r="Q740"/>
    </row>
    <row r="741" spans="6:17" x14ac:dyDescent="0.3">
      <c r="F741"/>
      <c r="G741"/>
      <c r="H741"/>
      <c r="I741"/>
      <c r="J741"/>
      <c r="K741"/>
      <c r="L741"/>
      <c r="M741"/>
      <c r="N741"/>
      <c r="O741"/>
      <c r="P741"/>
      <c r="Q741"/>
    </row>
    <row r="742" spans="6:17" x14ac:dyDescent="0.3">
      <c r="F742"/>
      <c r="G742"/>
      <c r="H742"/>
      <c r="I742"/>
      <c r="J742"/>
      <c r="K742"/>
      <c r="L742"/>
      <c r="M742"/>
      <c r="N742"/>
      <c r="O742"/>
      <c r="P742"/>
      <c r="Q742"/>
    </row>
    <row r="743" spans="6:17" x14ac:dyDescent="0.3">
      <c r="F743"/>
      <c r="G743"/>
      <c r="H743"/>
      <c r="I743"/>
      <c r="J743"/>
      <c r="K743"/>
      <c r="L743"/>
      <c r="M743"/>
      <c r="N743"/>
      <c r="O743"/>
      <c r="P743"/>
      <c r="Q743"/>
    </row>
    <row r="744" spans="6:17" x14ac:dyDescent="0.3">
      <c r="F744"/>
      <c r="G744"/>
      <c r="H744"/>
      <c r="I744"/>
      <c r="J744"/>
      <c r="K744"/>
      <c r="L744"/>
      <c r="M744"/>
      <c r="N744"/>
      <c r="O744"/>
      <c r="P744"/>
      <c r="Q744"/>
    </row>
    <row r="745" spans="6:17" x14ac:dyDescent="0.3">
      <c r="F745"/>
      <c r="G745"/>
      <c r="H745"/>
      <c r="I745"/>
      <c r="J745"/>
      <c r="K745"/>
      <c r="L745"/>
      <c r="M745"/>
      <c r="N745"/>
      <c r="O745"/>
      <c r="P745"/>
      <c r="Q745"/>
    </row>
    <row r="746" spans="6:17" x14ac:dyDescent="0.3">
      <c r="F746"/>
      <c r="G746"/>
      <c r="H746"/>
      <c r="I746"/>
      <c r="J746"/>
      <c r="K746"/>
      <c r="L746"/>
      <c r="M746"/>
      <c r="N746"/>
      <c r="O746"/>
      <c r="P746"/>
      <c r="Q746"/>
    </row>
    <row r="747" spans="6:17" x14ac:dyDescent="0.3">
      <c r="F747"/>
      <c r="G747"/>
      <c r="H747"/>
      <c r="I747"/>
      <c r="J747"/>
      <c r="K747"/>
      <c r="L747"/>
      <c r="M747"/>
      <c r="N747"/>
      <c r="O747"/>
      <c r="P747"/>
      <c r="Q747"/>
    </row>
    <row r="748" spans="6:17" x14ac:dyDescent="0.3">
      <c r="F748"/>
      <c r="G748"/>
      <c r="H748"/>
      <c r="I748"/>
      <c r="J748"/>
      <c r="K748"/>
      <c r="L748"/>
      <c r="M748"/>
      <c r="N748"/>
      <c r="O748"/>
      <c r="P748"/>
      <c r="Q748"/>
    </row>
    <row r="749" spans="6:17" x14ac:dyDescent="0.3">
      <c r="F749"/>
      <c r="G749"/>
      <c r="H749"/>
      <c r="I749"/>
      <c r="J749"/>
      <c r="K749"/>
      <c r="L749"/>
      <c r="M749"/>
      <c r="N749"/>
      <c r="O749"/>
      <c r="P749"/>
      <c r="Q749"/>
    </row>
    <row r="750" spans="6:17" x14ac:dyDescent="0.3">
      <c r="F750"/>
      <c r="G750"/>
      <c r="H750"/>
      <c r="I750"/>
      <c r="J750"/>
      <c r="K750"/>
      <c r="L750"/>
      <c r="M750"/>
      <c r="N750"/>
      <c r="O750"/>
      <c r="P750"/>
      <c r="Q750"/>
    </row>
    <row r="751" spans="6:17" x14ac:dyDescent="0.3">
      <c r="F751"/>
      <c r="G751"/>
      <c r="H751"/>
      <c r="I751"/>
      <c r="J751"/>
      <c r="K751"/>
      <c r="L751"/>
      <c r="M751"/>
      <c r="N751"/>
      <c r="O751"/>
      <c r="P751"/>
      <c r="Q751"/>
    </row>
    <row r="752" spans="6:17" x14ac:dyDescent="0.3">
      <c r="F752"/>
      <c r="G752"/>
      <c r="H752"/>
      <c r="I752"/>
      <c r="J752"/>
      <c r="K752"/>
      <c r="L752"/>
      <c r="M752"/>
      <c r="N752"/>
      <c r="O752"/>
      <c r="P752"/>
      <c r="Q752"/>
    </row>
    <row r="753" spans="6:17" x14ac:dyDescent="0.3">
      <c r="F753"/>
      <c r="G753"/>
      <c r="H753"/>
      <c r="I753"/>
      <c r="J753"/>
      <c r="K753"/>
      <c r="L753"/>
      <c r="M753"/>
      <c r="N753"/>
      <c r="O753"/>
      <c r="P753"/>
      <c r="Q753"/>
    </row>
    <row r="754" spans="6:17" x14ac:dyDescent="0.3">
      <c r="F754"/>
      <c r="G754"/>
      <c r="H754"/>
      <c r="I754"/>
      <c r="J754"/>
      <c r="K754"/>
      <c r="L754"/>
      <c r="M754"/>
      <c r="N754"/>
      <c r="O754"/>
      <c r="P754"/>
      <c r="Q754"/>
    </row>
    <row r="755" spans="6:17" x14ac:dyDescent="0.3">
      <c r="F755"/>
      <c r="G755"/>
      <c r="H755"/>
      <c r="I755"/>
      <c r="J755"/>
      <c r="K755"/>
      <c r="L755"/>
      <c r="M755"/>
      <c r="N755"/>
      <c r="O755"/>
      <c r="P755"/>
      <c r="Q755"/>
    </row>
    <row r="756" spans="6:17" x14ac:dyDescent="0.3">
      <c r="F756"/>
      <c r="G756"/>
      <c r="H756"/>
      <c r="I756"/>
      <c r="J756"/>
      <c r="K756"/>
      <c r="L756"/>
      <c r="M756"/>
      <c r="N756"/>
      <c r="O756"/>
      <c r="P756"/>
      <c r="Q756"/>
    </row>
    <row r="757" spans="6:17" x14ac:dyDescent="0.3">
      <c r="F757"/>
      <c r="G757"/>
      <c r="H757"/>
      <c r="I757"/>
      <c r="J757"/>
      <c r="K757"/>
      <c r="L757"/>
      <c r="M757"/>
      <c r="N757"/>
      <c r="O757"/>
      <c r="P757"/>
      <c r="Q757"/>
    </row>
    <row r="758" spans="6:17" x14ac:dyDescent="0.3">
      <c r="F758"/>
      <c r="G758"/>
      <c r="H758"/>
      <c r="I758"/>
      <c r="J758"/>
      <c r="K758"/>
      <c r="L758"/>
      <c r="M758"/>
      <c r="N758"/>
      <c r="O758"/>
      <c r="P758"/>
      <c r="Q758"/>
    </row>
    <row r="759" spans="6:17" x14ac:dyDescent="0.3">
      <c r="F759"/>
      <c r="G759"/>
      <c r="H759"/>
      <c r="I759"/>
      <c r="J759"/>
      <c r="K759"/>
      <c r="L759"/>
      <c r="M759"/>
      <c r="N759"/>
      <c r="O759"/>
      <c r="P759"/>
      <c r="Q759"/>
    </row>
    <row r="760" spans="6:17" x14ac:dyDescent="0.3">
      <c r="F760"/>
      <c r="G760"/>
      <c r="H760"/>
      <c r="I760"/>
      <c r="J760"/>
      <c r="K760"/>
      <c r="L760"/>
      <c r="M760"/>
      <c r="N760"/>
      <c r="O760"/>
      <c r="P760"/>
      <c r="Q760"/>
    </row>
    <row r="761" spans="6:17" x14ac:dyDescent="0.3">
      <c r="F761"/>
      <c r="G761"/>
      <c r="H761"/>
      <c r="I761"/>
      <c r="J761"/>
      <c r="K761"/>
      <c r="L761"/>
      <c r="M761"/>
      <c r="N761"/>
      <c r="O761"/>
      <c r="P761"/>
      <c r="Q761"/>
    </row>
    <row r="762" spans="6:17" x14ac:dyDescent="0.3">
      <c r="F762"/>
      <c r="G762"/>
      <c r="H762"/>
      <c r="I762"/>
      <c r="J762"/>
      <c r="K762"/>
      <c r="L762"/>
      <c r="M762"/>
      <c r="N762"/>
      <c r="O762"/>
      <c r="P762"/>
      <c r="Q762"/>
    </row>
    <row r="763" spans="6:17" x14ac:dyDescent="0.3">
      <c r="F763"/>
      <c r="G763"/>
      <c r="H763"/>
      <c r="I763"/>
      <c r="J763"/>
      <c r="K763"/>
      <c r="L763"/>
      <c r="M763"/>
      <c r="N763"/>
      <c r="O763"/>
      <c r="P763"/>
      <c r="Q763"/>
    </row>
    <row r="764" spans="6:17" x14ac:dyDescent="0.3">
      <c r="F764"/>
      <c r="G764"/>
      <c r="H764"/>
      <c r="I764"/>
      <c r="J764"/>
      <c r="K764"/>
      <c r="L764"/>
      <c r="M764"/>
      <c r="N764"/>
      <c r="O764"/>
      <c r="P764"/>
      <c r="Q764"/>
    </row>
    <row r="765" spans="6:17" x14ac:dyDescent="0.3">
      <c r="F765"/>
      <c r="G765"/>
      <c r="H765"/>
      <c r="I765"/>
      <c r="J765"/>
      <c r="K765"/>
      <c r="L765"/>
      <c r="M765"/>
      <c r="N765"/>
      <c r="O765"/>
      <c r="P765"/>
      <c r="Q765"/>
    </row>
    <row r="766" spans="6:17" x14ac:dyDescent="0.3">
      <c r="F766"/>
      <c r="G766"/>
      <c r="H766"/>
      <c r="I766"/>
      <c r="J766"/>
      <c r="K766"/>
      <c r="L766"/>
      <c r="M766"/>
      <c r="N766"/>
      <c r="O766"/>
      <c r="P766"/>
      <c r="Q766"/>
    </row>
    <row r="767" spans="6:17" x14ac:dyDescent="0.3">
      <c r="F767"/>
      <c r="G767"/>
      <c r="H767"/>
      <c r="I767"/>
      <c r="J767"/>
      <c r="K767"/>
      <c r="L767"/>
      <c r="M767"/>
      <c r="N767"/>
      <c r="O767"/>
      <c r="P767"/>
      <c r="Q767"/>
    </row>
    <row r="768" spans="6:17" x14ac:dyDescent="0.3">
      <c r="F768"/>
      <c r="G768"/>
      <c r="H768"/>
      <c r="I768"/>
      <c r="J768"/>
      <c r="K768"/>
      <c r="L768"/>
      <c r="M768"/>
      <c r="N768"/>
      <c r="O768"/>
      <c r="P768"/>
      <c r="Q768"/>
    </row>
    <row r="769" spans="6:17" x14ac:dyDescent="0.3">
      <c r="F769"/>
      <c r="G769"/>
      <c r="H769"/>
      <c r="I769"/>
      <c r="J769"/>
      <c r="K769"/>
      <c r="L769"/>
      <c r="M769"/>
      <c r="N769"/>
      <c r="O769"/>
      <c r="P769"/>
      <c r="Q769"/>
    </row>
    <row r="770" spans="6:17" x14ac:dyDescent="0.3">
      <c r="F770"/>
      <c r="G770"/>
      <c r="H770"/>
      <c r="I770"/>
      <c r="J770"/>
      <c r="K770"/>
      <c r="L770"/>
      <c r="M770"/>
      <c r="N770"/>
      <c r="O770"/>
      <c r="P770"/>
      <c r="Q770"/>
    </row>
    <row r="771" spans="6:17" x14ac:dyDescent="0.3">
      <c r="F771"/>
      <c r="G771"/>
      <c r="H771"/>
      <c r="I771"/>
      <c r="J771"/>
      <c r="K771"/>
      <c r="L771"/>
      <c r="M771"/>
      <c r="N771"/>
      <c r="O771"/>
      <c r="P771"/>
      <c r="Q771"/>
    </row>
    <row r="772" spans="6:17" x14ac:dyDescent="0.3">
      <c r="F772"/>
      <c r="G772"/>
      <c r="H772"/>
      <c r="I772"/>
      <c r="J772"/>
      <c r="K772"/>
      <c r="L772"/>
      <c r="M772"/>
      <c r="N772"/>
      <c r="O772"/>
      <c r="P772"/>
      <c r="Q772"/>
    </row>
    <row r="773" spans="6:17" x14ac:dyDescent="0.3">
      <c r="F773"/>
      <c r="G773"/>
      <c r="H773"/>
      <c r="I773"/>
      <c r="J773"/>
      <c r="K773"/>
      <c r="L773"/>
      <c r="M773"/>
      <c r="N773"/>
      <c r="O773"/>
      <c r="P773"/>
      <c r="Q773"/>
    </row>
    <row r="774" spans="6:17" x14ac:dyDescent="0.3">
      <c r="F774"/>
      <c r="G774"/>
      <c r="H774"/>
      <c r="I774"/>
      <c r="J774"/>
      <c r="K774"/>
      <c r="L774"/>
      <c r="M774"/>
      <c r="N774"/>
      <c r="O774"/>
      <c r="P774"/>
      <c r="Q774"/>
    </row>
    <row r="775" spans="6:17" x14ac:dyDescent="0.3">
      <c r="F775"/>
      <c r="G775"/>
      <c r="H775"/>
      <c r="I775"/>
      <c r="J775"/>
      <c r="K775"/>
      <c r="L775"/>
      <c r="M775"/>
      <c r="N775"/>
      <c r="O775"/>
      <c r="P775"/>
      <c r="Q775"/>
    </row>
    <row r="776" spans="6:17" x14ac:dyDescent="0.3">
      <c r="F776"/>
      <c r="G776"/>
      <c r="H776"/>
      <c r="I776"/>
      <c r="J776"/>
      <c r="K776"/>
      <c r="L776"/>
      <c r="M776"/>
      <c r="N776"/>
      <c r="O776"/>
      <c r="P776"/>
      <c r="Q776"/>
    </row>
    <row r="777" spans="6:17" x14ac:dyDescent="0.3">
      <c r="F777"/>
      <c r="G777"/>
      <c r="H777"/>
      <c r="I777"/>
      <c r="J777"/>
      <c r="K777"/>
      <c r="L777"/>
      <c r="M777"/>
      <c r="N777"/>
      <c r="O777"/>
      <c r="P777"/>
      <c r="Q777"/>
    </row>
    <row r="778" spans="6:17" x14ac:dyDescent="0.3">
      <c r="F778"/>
      <c r="G778"/>
      <c r="H778"/>
      <c r="I778"/>
      <c r="J778"/>
      <c r="K778"/>
      <c r="L778"/>
      <c r="M778"/>
      <c r="N778"/>
      <c r="O778"/>
      <c r="P778"/>
      <c r="Q778"/>
    </row>
    <row r="779" spans="6:17" x14ac:dyDescent="0.3">
      <c r="F779"/>
      <c r="G779"/>
      <c r="H779"/>
      <c r="I779"/>
      <c r="J779"/>
      <c r="K779"/>
      <c r="L779"/>
      <c r="M779"/>
      <c r="N779"/>
      <c r="O779"/>
      <c r="P779"/>
      <c r="Q779"/>
    </row>
    <row r="780" spans="6:17" x14ac:dyDescent="0.3">
      <c r="F780"/>
      <c r="G780"/>
      <c r="H780"/>
      <c r="I780"/>
      <c r="J780"/>
      <c r="K780"/>
      <c r="L780"/>
      <c r="M780"/>
      <c r="N780"/>
      <c r="O780"/>
      <c r="P780"/>
      <c r="Q780"/>
    </row>
    <row r="781" spans="6:17" x14ac:dyDescent="0.3">
      <c r="F781"/>
      <c r="G781"/>
      <c r="H781"/>
      <c r="I781"/>
      <c r="J781"/>
      <c r="K781"/>
      <c r="L781"/>
      <c r="M781"/>
      <c r="N781"/>
      <c r="O781"/>
      <c r="P781"/>
      <c r="Q781"/>
    </row>
    <row r="782" spans="6:17" x14ac:dyDescent="0.3">
      <c r="F782"/>
      <c r="G782"/>
      <c r="H782"/>
      <c r="I782"/>
      <c r="J782"/>
      <c r="K782"/>
      <c r="L782"/>
      <c r="M782"/>
      <c r="N782"/>
      <c r="O782"/>
      <c r="P782"/>
      <c r="Q782"/>
    </row>
    <row r="783" spans="6:17" x14ac:dyDescent="0.3">
      <c r="F783"/>
      <c r="G783"/>
      <c r="H783"/>
      <c r="I783"/>
      <c r="J783"/>
      <c r="K783"/>
      <c r="L783"/>
      <c r="M783"/>
      <c r="N783"/>
      <c r="O783"/>
      <c r="P783"/>
      <c r="Q783"/>
    </row>
    <row r="784" spans="6:17" x14ac:dyDescent="0.3">
      <c r="F784"/>
      <c r="G784"/>
      <c r="H784"/>
      <c r="I784"/>
      <c r="J784"/>
      <c r="K784"/>
      <c r="L784"/>
      <c r="M784"/>
      <c r="N784"/>
      <c r="O784"/>
      <c r="P784"/>
      <c r="Q784"/>
    </row>
    <row r="785" spans="6:17" x14ac:dyDescent="0.3">
      <c r="F785"/>
      <c r="G785"/>
      <c r="H785"/>
      <c r="I785"/>
      <c r="J785"/>
      <c r="K785"/>
      <c r="L785"/>
      <c r="M785"/>
      <c r="N785"/>
      <c r="O785"/>
      <c r="P785"/>
      <c r="Q785"/>
    </row>
    <row r="786" spans="6:17" x14ac:dyDescent="0.3">
      <c r="F786"/>
      <c r="G786"/>
      <c r="H786"/>
      <c r="I786"/>
      <c r="J786"/>
      <c r="K786"/>
      <c r="L786"/>
      <c r="M786"/>
      <c r="N786"/>
      <c r="O786"/>
      <c r="P786"/>
      <c r="Q786"/>
    </row>
    <row r="787" spans="6:17" x14ac:dyDescent="0.3">
      <c r="F787"/>
      <c r="G787"/>
      <c r="H787"/>
      <c r="I787"/>
      <c r="J787"/>
      <c r="K787"/>
      <c r="L787"/>
      <c r="M787"/>
      <c r="N787"/>
      <c r="O787"/>
      <c r="P787"/>
      <c r="Q787"/>
    </row>
    <row r="788" spans="6:17" x14ac:dyDescent="0.3">
      <c r="F788"/>
      <c r="G788"/>
      <c r="H788"/>
      <c r="I788"/>
      <c r="J788"/>
      <c r="K788"/>
      <c r="L788"/>
      <c r="M788"/>
      <c r="N788"/>
      <c r="O788"/>
      <c r="P788"/>
      <c r="Q788"/>
    </row>
    <row r="789" spans="6:17" x14ac:dyDescent="0.3">
      <c r="F789"/>
      <c r="G789"/>
      <c r="H789"/>
      <c r="I789"/>
      <c r="J789"/>
      <c r="K789"/>
      <c r="L789"/>
      <c r="M789"/>
      <c r="N789"/>
      <c r="O789"/>
      <c r="P789"/>
      <c r="Q789"/>
    </row>
    <row r="790" spans="6:17" x14ac:dyDescent="0.3">
      <c r="F790"/>
      <c r="G790"/>
      <c r="H790"/>
      <c r="I790"/>
      <c r="J790"/>
      <c r="K790"/>
      <c r="L790"/>
      <c r="M790"/>
      <c r="N790"/>
      <c r="O790"/>
      <c r="P790"/>
      <c r="Q790"/>
    </row>
    <row r="791" spans="6:17" x14ac:dyDescent="0.3">
      <c r="F791"/>
      <c r="G791"/>
      <c r="H791"/>
      <c r="I791"/>
      <c r="J791"/>
      <c r="K791"/>
      <c r="L791"/>
      <c r="M791"/>
      <c r="N791"/>
      <c r="O791"/>
      <c r="P791"/>
      <c r="Q791"/>
    </row>
    <row r="792" spans="6:17" x14ac:dyDescent="0.3">
      <c r="F792"/>
      <c r="G792"/>
      <c r="H792"/>
      <c r="I792"/>
      <c r="J792"/>
      <c r="K792"/>
      <c r="L792"/>
      <c r="M792"/>
      <c r="N792"/>
      <c r="O792"/>
      <c r="P792"/>
      <c r="Q792"/>
    </row>
    <row r="793" spans="6:17" x14ac:dyDescent="0.3">
      <c r="F793"/>
      <c r="G793"/>
      <c r="H793"/>
      <c r="I793"/>
      <c r="J793"/>
      <c r="K793"/>
      <c r="L793"/>
      <c r="M793"/>
      <c r="N793"/>
      <c r="O793"/>
      <c r="P793"/>
      <c r="Q793"/>
    </row>
    <row r="794" spans="6:17" x14ac:dyDescent="0.3">
      <c r="F794"/>
      <c r="G794"/>
      <c r="H794"/>
      <c r="I794"/>
      <c r="J794"/>
      <c r="K794"/>
      <c r="L794"/>
      <c r="M794"/>
      <c r="N794"/>
      <c r="O794"/>
      <c r="P794"/>
      <c r="Q794"/>
    </row>
    <row r="795" spans="6:17" x14ac:dyDescent="0.3">
      <c r="F795"/>
      <c r="G795"/>
      <c r="H795"/>
      <c r="I795"/>
      <c r="J795"/>
      <c r="K795"/>
      <c r="L795"/>
      <c r="M795"/>
      <c r="N795"/>
      <c r="O795"/>
      <c r="P795"/>
      <c r="Q795"/>
    </row>
    <row r="796" spans="6:17" x14ac:dyDescent="0.3">
      <c r="F796"/>
      <c r="G796"/>
      <c r="H796"/>
      <c r="I796"/>
      <c r="J796"/>
      <c r="K796"/>
      <c r="L796"/>
      <c r="M796"/>
      <c r="N796"/>
      <c r="O796"/>
      <c r="P796"/>
      <c r="Q796"/>
    </row>
    <row r="797" spans="6:17" x14ac:dyDescent="0.3">
      <c r="F797"/>
      <c r="G797"/>
      <c r="H797"/>
      <c r="I797"/>
      <c r="J797"/>
      <c r="K797"/>
      <c r="L797"/>
      <c r="M797"/>
      <c r="N797"/>
      <c r="O797"/>
      <c r="P797"/>
      <c r="Q797"/>
    </row>
    <row r="798" spans="6:17" x14ac:dyDescent="0.3">
      <c r="F798"/>
      <c r="G798"/>
      <c r="H798"/>
      <c r="I798"/>
      <c r="J798"/>
      <c r="K798"/>
      <c r="L798"/>
      <c r="M798"/>
      <c r="N798"/>
      <c r="O798"/>
      <c r="P798"/>
      <c r="Q798"/>
    </row>
    <row r="799" spans="6:17" x14ac:dyDescent="0.3">
      <c r="F799"/>
      <c r="G799"/>
      <c r="H799"/>
      <c r="I799"/>
      <c r="J799"/>
      <c r="K799"/>
      <c r="L799"/>
      <c r="M799"/>
      <c r="N799"/>
      <c r="O799"/>
      <c r="P799"/>
      <c r="Q799"/>
    </row>
    <row r="800" spans="6:17" x14ac:dyDescent="0.3">
      <c r="F800"/>
      <c r="G800"/>
      <c r="H800"/>
      <c r="I800"/>
      <c r="J800"/>
      <c r="K800"/>
      <c r="L800"/>
      <c r="M800"/>
      <c r="N800"/>
      <c r="O800"/>
      <c r="P800"/>
      <c r="Q800"/>
    </row>
    <row r="801" spans="6:17" x14ac:dyDescent="0.3">
      <c r="F801"/>
      <c r="G801"/>
      <c r="H801"/>
      <c r="I801"/>
      <c r="J801"/>
      <c r="K801"/>
      <c r="L801"/>
      <c r="M801"/>
      <c r="N801"/>
      <c r="O801"/>
      <c r="P801"/>
      <c r="Q801"/>
    </row>
    <row r="802" spans="6:17" x14ac:dyDescent="0.3">
      <c r="F802"/>
      <c r="G802"/>
      <c r="H802"/>
      <c r="I802"/>
      <c r="J802"/>
      <c r="K802"/>
      <c r="L802"/>
      <c r="M802"/>
      <c r="N802"/>
      <c r="O802"/>
      <c r="P802"/>
      <c r="Q802"/>
    </row>
    <row r="803" spans="6:17" x14ac:dyDescent="0.3">
      <c r="F803"/>
      <c r="G803"/>
      <c r="H803"/>
      <c r="I803"/>
      <c r="J803"/>
      <c r="K803"/>
      <c r="L803"/>
      <c r="M803"/>
      <c r="N803"/>
      <c r="O803"/>
      <c r="P803"/>
      <c r="Q803"/>
    </row>
    <row r="804" spans="6:17" x14ac:dyDescent="0.3">
      <c r="F804"/>
      <c r="G804"/>
      <c r="H804"/>
      <c r="I804"/>
      <c r="J804"/>
      <c r="K804"/>
      <c r="L804"/>
      <c r="M804"/>
      <c r="N804"/>
      <c r="O804"/>
      <c r="P804"/>
      <c r="Q804"/>
    </row>
    <row r="805" spans="6:17" x14ac:dyDescent="0.3">
      <c r="F805"/>
      <c r="G805"/>
      <c r="H805"/>
      <c r="I805"/>
      <c r="J805"/>
      <c r="K805"/>
      <c r="L805"/>
      <c r="M805"/>
      <c r="N805"/>
      <c r="O805"/>
      <c r="P805"/>
      <c r="Q805"/>
    </row>
    <row r="806" spans="6:17" x14ac:dyDescent="0.3">
      <c r="F806"/>
      <c r="G806"/>
      <c r="H806"/>
      <c r="I806"/>
      <c r="J806"/>
      <c r="K806"/>
      <c r="L806"/>
      <c r="M806"/>
      <c r="N806"/>
      <c r="O806"/>
      <c r="P806"/>
      <c r="Q806"/>
    </row>
    <row r="807" spans="6:17" x14ac:dyDescent="0.3">
      <c r="F807"/>
      <c r="G807"/>
      <c r="H807"/>
      <c r="I807"/>
      <c r="J807"/>
      <c r="K807"/>
      <c r="L807"/>
      <c r="M807"/>
      <c r="N807"/>
      <c r="O807"/>
      <c r="P807"/>
      <c r="Q807"/>
    </row>
    <row r="808" spans="6:17" x14ac:dyDescent="0.3">
      <c r="F808"/>
      <c r="G808"/>
      <c r="H808"/>
      <c r="I808"/>
      <c r="J808"/>
      <c r="K808"/>
      <c r="L808"/>
      <c r="M808"/>
      <c r="N808"/>
      <c r="O808"/>
      <c r="P808"/>
      <c r="Q808"/>
    </row>
    <row r="809" spans="6:17" x14ac:dyDescent="0.3">
      <c r="F809"/>
      <c r="G809"/>
      <c r="H809"/>
      <c r="I809"/>
      <c r="J809"/>
      <c r="K809"/>
      <c r="L809"/>
      <c r="M809"/>
      <c r="N809"/>
      <c r="O809"/>
      <c r="P809"/>
      <c r="Q809"/>
    </row>
    <row r="810" spans="6:17" x14ac:dyDescent="0.3">
      <c r="F810"/>
      <c r="G810"/>
      <c r="H810"/>
      <c r="I810"/>
      <c r="J810"/>
      <c r="K810"/>
      <c r="L810"/>
      <c r="M810"/>
      <c r="N810"/>
      <c r="O810"/>
      <c r="P810"/>
      <c r="Q810"/>
    </row>
    <row r="811" spans="6:17" x14ac:dyDescent="0.3">
      <c r="F811"/>
      <c r="G811"/>
      <c r="H811"/>
      <c r="I811"/>
      <c r="J811"/>
      <c r="K811"/>
      <c r="L811"/>
      <c r="M811"/>
      <c r="N811"/>
      <c r="O811"/>
      <c r="P811"/>
      <c r="Q811"/>
    </row>
    <row r="812" spans="6:17" x14ac:dyDescent="0.3">
      <c r="F812"/>
      <c r="G812"/>
      <c r="H812"/>
      <c r="I812"/>
      <c r="J812"/>
      <c r="K812"/>
      <c r="L812"/>
      <c r="M812"/>
      <c r="N812"/>
      <c r="O812"/>
      <c r="P812"/>
      <c r="Q812"/>
    </row>
    <row r="813" spans="6:17" x14ac:dyDescent="0.3">
      <c r="F813"/>
      <c r="G813"/>
      <c r="H813"/>
      <c r="I813"/>
      <c r="J813"/>
      <c r="K813"/>
      <c r="L813"/>
      <c r="M813"/>
      <c r="N813"/>
      <c r="O813"/>
      <c r="P813"/>
      <c r="Q813"/>
    </row>
    <row r="814" spans="6:17" x14ac:dyDescent="0.3">
      <c r="F814"/>
      <c r="G814"/>
      <c r="H814"/>
      <c r="I814"/>
      <c r="J814"/>
      <c r="K814"/>
      <c r="L814"/>
      <c r="M814"/>
      <c r="N814"/>
      <c r="O814"/>
      <c r="P814"/>
      <c r="Q814"/>
    </row>
    <row r="815" spans="6:17" x14ac:dyDescent="0.3">
      <c r="F815"/>
      <c r="G815"/>
      <c r="H815"/>
      <c r="I815"/>
      <c r="J815"/>
      <c r="K815"/>
      <c r="L815"/>
      <c r="M815"/>
      <c r="N815"/>
      <c r="O815"/>
      <c r="P815"/>
      <c r="Q815"/>
    </row>
    <row r="816" spans="6:17" x14ac:dyDescent="0.3">
      <c r="F816"/>
      <c r="G816"/>
      <c r="H816"/>
      <c r="I816"/>
      <c r="J816"/>
      <c r="K816"/>
      <c r="L816"/>
      <c r="M816"/>
      <c r="N816"/>
      <c r="O816"/>
      <c r="P816"/>
      <c r="Q816"/>
    </row>
    <row r="817" spans="6:17" x14ac:dyDescent="0.3">
      <c r="F817"/>
      <c r="G817"/>
      <c r="H817"/>
      <c r="I817"/>
      <c r="J817"/>
      <c r="K817"/>
      <c r="L817"/>
      <c r="M817"/>
      <c r="N817"/>
      <c r="O817"/>
      <c r="P817"/>
      <c r="Q817"/>
    </row>
    <row r="818" spans="6:17" x14ac:dyDescent="0.3">
      <c r="F818"/>
      <c r="G818"/>
      <c r="H818"/>
      <c r="I818"/>
      <c r="J818"/>
      <c r="K818"/>
      <c r="L818"/>
      <c r="M818"/>
      <c r="N818"/>
      <c r="O818"/>
      <c r="P818"/>
      <c r="Q818"/>
    </row>
    <row r="819" spans="6:17" x14ac:dyDescent="0.3">
      <c r="F819"/>
      <c r="G819"/>
      <c r="H819"/>
      <c r="I819"/>
      <c r="J819"/>
      <c r="K819"/>
      <c r="L819"/>
      <c r="M819"/>
      <c r="N819"/>
      <c r="O819"/>
      <c r="P819"/>
      <c r="Q819"/>
    </row>
    <row r="820" spans="6:17" x14ac:dyDescent="0.3">
      <c r="F820"/>
      <c r="G820"/>
      <c r="H820"/>
      <c r="I820"/>
      <c r="J820"/>
      <c r="K820"/>
      <c r="L820"/>
      <c r="M820"/>
      <c r="N820"/>
      <c r="O820"/>
      <c r="P820"/>
      <c r="Q820"/>
    </row>
    <row r="821" spans="6:17" x14ac:dyDescent="0.3">
      <c r="F821"/>
      <c r="G821"/>
      <c r="H821"/>
      <c r="I821"/>
      <c r="J821"/>
      <c r="K821"/>
      <c r="L821"/>
      <c r="M821"/>
      <c r="N821"/>
      <c r="O821"/>
      <c r="P821"/>
      <c r="Q821"/>
    </row>
    <row r="822" spans="6:17" x14ac:dyDescent="0.3">
      <c r="F822"/>
      <c r="G822"/>
      <c r="H822"/>
      <c r="I822"/>
      <c r="J822"/>
      <c r="K822"/>
      <c r="L822"/>
      <c r="M822"/>
      <c r="N822"/>
      <c r="O822"/>
      <c r="P822"/>
      <c r="Q822"/>
    </row>
    <row r="823" spans="6:17" x14ac:dyDescent="0.3">
      <c r="F823"/>
      <c r="G823"/>
      <c r="H823"/>
      <c r="I823"/>
      <c r="J823"/>
      <c r="K823"/>
      <c r="L823"/>
      <c r="M823"/>
      <c r="N823"/>
      <c r="O823"/>
      <c r="P823"/>
      <c r="Q823"/>
    </row>
    <row r="824" spans="6:17" x14ac:dyDescent="0.3">
      <c r="F824"/>
      <c r="G824"/>
      <c r="H824"/>
      <c r="I824"/>
      <c r="J824"/>
      <c r="K824"/>
      <c r="L824"/>
      <c r="M824"/>
      <c r="N824"/>
      <c r="O824"/>
      <c r="P824"/>
      <c r="Q824"/>
    </row>
    <row r="825" spans="6:17" x14ac:dyDescent="0.3">
      <c r="F825"/>
      <c r="G825"/>
      <c r="H825"/>
      <c r="I825"/>
      <c r="J825"/>
      <c r="K825"/>
      <c r="L825"/>
      <c r="M825"/>
      <c r="N825"/>
      <c r="O825"/>
      <c r="P825"/>
      <c r="Q825"/>
    </row>
    <row r="826" spans="6:17" x14ac:dyDescent="0.3">
      <c r="F826"/>
      <c r="G826"/>
      <c r="H826"/>
      <c r="I826"/>
      <c r="J826"/>
      <c r="K826"/>
      <c r="L826"/>
      <c r="M826"/>
      <c r="N826"/>
      <c r="O826"/>
      <c r="P826"/>
      <c r="Q826"/>
    </row>
    <row r="827" spans="6:17" x14ac:dyDescent="0.3">
      <c r="F827"/>
      <c r="G827"/>
      <c r="H827"/>
      <c r="I827"/>
      <c r="J827"/>
      <c r="K827"/>
      <c r="L827"/>
      <c r="M827"/>
      <c r="N827"/>
      <c r="O827"/>
      <c r="P827"/>
      <c r="Q827"/>
    </row>
    <row r="828" spans="6:17" x14ac:dyDescent="0.3">
      <c r="F828"/>
      <c r="G828"/>
      <c r="H828"/>
      <c r="I828"/>
      <c r="J828"/>
      <c r="K828"/>
      <c r="L828"/>
      <c r="M828"/>
      <c r="N828"/>
      <c r="O828"/>
      <c r="P828"/>
      <c r="Q828"/>
    </row>
    <row r="829" spans="6:17" x14ac:dyDescent="0.3">
      <c r="F829"/>
      <c r="G829"/>
      <c r="H829"/>
      <c r="I829"/>
      <c r="J829"/>
      <c r="K829"/>
      <c r="L829"/>
      <c r="M829"/>
      <c r="N829"/>
      <c r="O829"/>
      <c r="P829"/>
      <c r="Q829"/>
    </row>
    <row r="830" spans="6:17" x14ac:dyDescent="0.3">
      <c r="F830"/>
      <c r="G830"/>
      <c r="H830"/>
      <c r="I830"/>
      <c r="J830"/>
      <c r="K830"/>
      <c r="L830"/>
      <c r="M830"/>
      <c r="N830"/>
      <c r="O830"/>
      <c r="P830"/>
      <c r="Q830"/>
    </row>
    <row r="831" spans="6:17" x14ac:dyDescent="0.3">
      <c r="F831"/>
      <c r="G831"/>
      <c r="H831"/>
      <c r="I831"/>
      <c r="J831"/>
      <c r="K831"/>
      <c r="L831"/>
      <c r="M831"/>
      <c r="N831"/>
      <c r="O831"/>
      <c r="P831"/>
      <c r="Q831"/>
    </row>
    <row r="832" spans="6:17" x14ac:dyDescent="0.3">
      <c r="F832"/>
      <c r="G832"/>
      <c r="H832"/>
      <c r="I832"/>
      <c r="J832"/>
      <c r="K832"/>
      <c r="L832"/>
      <c r="M832"/>
      <c r="N832"/>
      <c r="O832"/>
      <c r="P832"/>
      <c r="Q832"/>
    </row>
    <row r="833" spans="6:17" x14ac:dyDescent="0.3">
      <c r="F833"/>
      <c r="G833"/>
      <c r="H833"/>
      <c r="I833"/>
      <c r="J833"/>
      <c r="K833"/>
      <c r="L833"/>
      <c r="M833"/>
      <c r="N833"/>
      <c r="O833"/>
      <c r="P833"/>
      <c r="Q833"/>
    </row>
    <row r="834" spans="6:17" x14ac:dyDescent="0.3">
      <c r="F834"/>
      <c r="G834"/>
      <c r="H834"/>
      <c r="I834"/>
      <c r="J834"/>
      <c r="K834"/>
      <c r="L834"/>
      <c r="M834"/>
      <c r="N834"/>
      <c r="O834"/>
      <c r="P834"/>
      <c r="Q834"/>
    </row>
    <row r="835" spans="6:17" x14ac:dyDescent="0.3">
      <c r="F835"/>
      <c r="G835"/>
      <c r="H835"/>
      <c r="I835"/>
      <c r="J835"/>
      <c r="K835"/>
      <c r="L835"/>
      <c r="M835"/>
      <c r="N835"/>
      <c r="O835"/>
      <c r="P835"/>
      <c r="Q835"/>
    </row>
    <row r="836" spans="6:17" x14ac:dyDescent="0.3">
      <c r="F836"/>
      <c r="G836"/>
      <c r="H836"/>
      <c r="I836"/>
      <c r="J836"/>
      <c r="K836"/>
      <c r="L836"/>
      <c r="M836"/>
      <c r="N836"/>
      <c r="O836"/>
      <c r="P836"/>
      <c r="Q836"/>
    </row>
    <row r="837" spans="6:17" x14ac:dyDescent="0.3">
      <c r="F837"/>
      <c r="G837"/>
      <c r="H837"/>
      <c r="I837"/>
      <c r="J837"/>
      <c r="K837"/>
      <c r="L837"/>
      <c r="M837"/>
      <c r="N837"/>
      <c r="O837"/>
      <c r="P837"/>
      <c r="Q837"/>
    </row>
    <row r="838" spans="6:17" x14ac:dyDescent="0.3">
      <c r="F838"/>
      <c r="G838"/>
      <c r="H838"/>
      <c r="I838"/>
      <c r="J838"/>
      <c r="K838"/>
      <c r="L838"/>
      <c r="M838"/>
      <c r="N838"/>
      <c r="O838"/>
      <c r="P838"/>
      <c r="Q838"/>
    </row>
    <row r="839" spans="6:17" x14ac:dyDescent="0.3">
      <c r="F839"/>
      <c r="G839"/>
      <c r="H839"/>
      <c r="I839"/>
      <c r="J839"/>
      <c r="K839"/>
      <c r="L839"/>
      <c r="M839"/>
      <c r="N839"/>
      <c r="O839"/>
      <c r="P839"/>
      <c r="Q839"/>
    </row>
    <row r="840" spans="6:17" x14ac:dyDescent="0.3">
      <c r="F840"/>
      <c r="G840"/>
      <c r="H840"/>
      <c r="I840"/>
      <c r="J840"/>
      <c r="K840"/>
      <c r="L840"/>
      <c r="M840"/>
      <c r="N840"/>
      <c r="O840"/>
      <c r="P840"/>
      <c r="Q840"/>
    </row>
    <row r="841" spans="6:17" x14ac:dyDescent="0.3">
      <c r="F841"/>
      <c r="G841"/>
      <c r="H841"/>
      <c r="I841"/>
      <c r="J841"/>
      <c r="K841"/>
      <c r="L841"/>
      <c r="M841"/>
      <c r="N841"/>
      <c r="O841"/>
      <c r="P841"/>
      <c r="Q841"/>
    </row>
    <row r="842" spans="6:17" x14ac:dyDescent="0.3">
      <c r="F842"/>
      <c r="G842"/>
      <c r="H842"/>
      <c r="I842"/>
      <c r="J842"/>
      <c r="K842"/>
      <c r="L842"/>
      <c r="M842"/>
      <c r="N842"/>
      <c r="O842"/>
      <c r="P842"/>
      <c r="Q842"/>
    </row>
    <row r="843" spans="6:17" x14ac:dyDescent="0.3">
      <c r="F843"/>
      <c r="G843"/>
      <c r="H843"/>
      <c r="I843"/>
      <c r="J843"/>
      <c r="K843"/>
      <c r="L843"/>
      <c r="M843"/>
      <c r="N843"/>
      <c r="O843"/>
      <c r="P843"/>
      <c r="Q843"/>
    </row>
    <row r="844" spans="6:17" x14ac:dyDescent="0.3">
      <c r="F844"/>
      <c r="G844"/>
      <c r="H844"/>
      <c r="I844"/>
      <c r="J844"/>
      <c r="K844"/>
      <c r="L844"/>
      <c r="M844"/>
      <c r="N844"/>
      <c r="O844"/>
      <c r="P844"/>
      <c r="Q844"/>
    </row>
    <row r="845" spans="6:17" x14ac:dyDescent="0.3">
      <c r="F845"/>
      <c r="G845"/>
      <c r="H845"/>
      <c r="I845"/>
      <c r="J845"/>
      <c r="K845"/>
      <c r="L845"/>
      <c r="M845"/>
      <c r="N845"/>
      <c r="O845"/>
      <c r="P845"/>
      <c r="Q845"/>
    </row>
    <row r="846" spans="6:17" x14ac:dyDescent="0.3">
      <c r="F846"/>
      <c r="G846"/>
      <c r="H846"/>
      <c r="I846"/>
      <c r="J846"/>
      <c r="K846"/>
      <c r="L846"/>
      <c r="M846"/>
      <c r="N846"/>
      <c r="O846"/>
      <c r="P846"/>
      <c r="Q846"/>
    </row>
    <row r="847" spans="6:17" x14ac:dyDescent="0.3">
      <c r="F847"/>
      <c r="G847"/>
      <c r="H847"/>
      <c r="I847"/>
      <c r="J847"/>
      <c r="K847"/>
      <c r="L847"/>
      <c r="M847"/>
      <c r="N847"/>
      <c r="O847"/>
      <c r="P847"/>
      <c r="Q847"/>
    </row>
    <row r="848" spans="6:17" x14ac:dyDescent="0.3">
      <c r="F848"/>
      <c r="G848"/>
      <c r="H848"/>
      <c r="I848"/>
      <c r="J848"/>
      <c r="K848"/>
      <c r="L848"/>
      <c r="M848"/>
      <c r="N848"/>
      <c r="O848"/>
      <c r="P848"/>
      <c r="Q848"/>
    </row>
    <row r="849" spans="6:17" x14ac:dyDescent="0.3">
      <c r="F849"/>
      <c r="G849"/>
      <c r="H849"/>
      <c r="I849"/>
      <c r="J849"/>
      <c r="K849"/>
      <c r="L849"/>
      <c r="M849"/>
      <c r="N849"/>
      <c r="O849"/>
      <c r="P849"/>
      <c r="Q849"/>
    </row>
    <row r="850" spans="6:17" x14ac:dyDescent="0.3">
      <c r="F850"/>
      <c r="G850"/>
      <c r="H850"/>
      <c r="I850"/>
      <c r="J850"/>
      <c r="K850"/>
      <c r="L850"/>
      <c r="M850"/>
      <c r="N850"/>
      <c r="O850"/>
      <c r="P850"/>
      <c r="Q850"/>
    </row>
    <row r="851" spans="6:17" x14ac:dyDescent="0.3">
      <c r="F851"/>
      <c r="G851"/>
      <c r="H851"/>
      <c r="I851"/>
      <c r="J851"/>
      <c r="K851"/>
      <c r="L851"/>
      <c r="M851"/>
      <c r="N851"/>
      <c r="O851"/>
      <c r="P851"/>
      <c r="Q851"/>
    </row>
    <row r="852" spans="6:17" x14ac:dyDescent="0.3">
      <c r="F852"/>
      <c r="G852"/>
      <c r="H852"/>
      <c r="I852"/>
      <c r="J852"/>
      <c r="K852"/>
      <c r="L852"/>
      <c r="M852"/>
      <c r="N852"/>
      <c r="O852"/>
      <c r="P852"/>
      <c r="Q852"/>
    </row>
    <row r="853" spans="6:17" x14ac:dyDescent="0.3">
      <c r="F853"/>
      <c r="G853"/>
      <c r="H853"/>
      <c r="I853"/>
      <c r="J853"/>
      <c r="K853"/>
      <c r="L853"/>
      <c r="M853"/>
      <c r="N853"/>
      <c r="O853"/>
      <c r="P853"/>
      <c r="Q853"/>
    </row>
    <row r="854" spans="6:17" x14ac:dyDescent="0.3">
      <c r="F854"/>
      <c r="G854"/>
      <c r="H854"/>
      <c r="I854"/>
      <c r="J854"/>
      <c r="K854"/>
      <c r="L854"/>
      <c r="M854"/>
      <c r="N854"/>
      <c r="O854"/>
      <c r="P854"/>
      <c r="Q854"/>
    </row>
    <row r="855" spans="6:17" x14ac:dyDescent="0.3">
      <c r="F855"/>
      <c r="G855"/>
      <c r="H855"/>
      <c r="I855"/>
      <c r="J855"/>
      <c r="K855"/>
      <c r="L855"/>
      <c r="M855"/>
      <c r="N855"/>
      <c r="O855"/>
      <c r="P855"/>
      <c r="Q855"/>
    </row>
    <row r="856" spans="6:17" x14ac:dyDescent="0.3">
      <c r="F856"/>
      <c r="G856"/>
      <c r="H856"/>
      <c r="I856"/>
      <c r="J856"/>
      <c r="K856"/>
      <c r="L856"/>
      <c r="M856"/>
      <c r="N856"/>
      <c r="O856"/>
      <c r="P856"/>
      <c r="Q856"/>
    </row>
    <row r="857" spans="6:17" x14ac:dyDescent="0.3">
      <c r="F857"/>
      <c r="G857"/>
      <c r="H857"/>
      <c r="I857"/>
      <c r="J857"/>
      <c r="K857"/>
      <c r="L857"/>
      <c r="M857"/>
      <c r="N857"/>
      <c r="O857"/>
      <c r="P857"/>
      <c r="Q857"/>
    </row>
    <row r="858" spans="6:17" x14ac:dyDescent="0.3">
      <c r="F858"/>
      <c r="G858"/>
      <c r="H858"/>
      <c r="I858"/>
      <c r="J858"/>
      <c r="K858"/>
      <c r="L858"/>
      <c r="M858"/>
      <c r="N858"/>
      <c r="O858"/>
      <c r="P858"/>
      <c r="Q858"/>
    </row>
    <row r="859" spans="6:17" x14ac:dyDescent="0.3">
      <c r="F859"/>
      <c r="G859"/>
      <c r="H859"/>
      <c r="I859"/>
      <c r="J859"/>
      <c r="K859"/>
      <c r="L859"/>
      <c r="M859"/>
      <c r="N859"/>
      <c r="O859"/>
      <c r="P859"/>
      <c r="Q859"/>
    </row>
    <row r="860" spans="6:17" x14ac:dyDescent="0.3">
      <c r="F860"/>
      <c r="G860"/>
      <c r="H860"/>
      <c r="I860"/>
      <c r="J860"/>
      <c r="K860"/>
      <c r="L860"/>
      <c r="M860"/>
      <c r="N860"/>
      <c r="O860"/>
      <c r="P860"/>
      <c r="Q860"/>
    </row>
    <row r="861" spans="6:17" x14ac:dyDescent="0.3">
      <c r="F861"/>
      <c r="G861"/>
      <c r="H861"/>
      <c r="I861"/>
      <c r="J861"/>
      <c r="K861"/>
      <c r="L861"/>
      <c r="M861"/>
      <c r="N861"/>
      <c r="O861"/>
      <c r="P861"/>
      <c r="Q861"/>
    </row>
    <row r="862" spans="6:17" x14ac:dyDescent="0.3">
      <c r="F862"/>
      <c r="G862"/>
      <c r="H862"/>
      <c r="I862"/>
      <c r="J862"/>
      <c r="K862"/>
      <c r="L862"/>
      <c r="M862"/>
      <c r="N862"/>
      <c r="O862"/>
      <c r="P862"/>
      <c r="Q862"/>
    </row>
    <row r="863" spans="6:17" x14ac:dyDescent="0.3">
      <c r="F863"/>
      <c r="G863"/>
      <c r="H863"/>
      <c r="I863"/>
      <c r="J863"/>
      <c r="K863"/>
      <c r="L863"/>
      <c r="M863"/>
      <c r="N863"/>
      <c r="O863"/>
      <c r="P863"/>
      <c r="Q863"/>
    </row>
    <row r="864" spans="6:17" x14ac:dyDescent="0.3">
      <c r="F864"/>
      <c r="G864"/>
      <c r="H864"/>
      <c r="I864"/>
      <c r="J864"/>
      <c r="K864"/>
      <c r="L864"/>
      <c r="M864"/>
      <c r="N864"/>
      <c r="O864"/>
      <c r="P864"/>
      <c r="Q864"/>
    </row>
    <row r="865" spans="6:17" x14ac:dyDescent="0.3">
      <c r="F865"/>
      <c r="G865"/>
      <c r="H865"/>
      <c r="I865"/>
      <c r="J865"/>
      <c r="K865"/>
      <c r="L865"/>
      <c r="M865"/>
      <c r="N865"/>
      <c r="O865"/>
      <c r="P865"/>
      <c r="Q865"/>
    </row>
    <row r="866" spans="6:17" x14ac:dyDescent="0.3">
      <c r="F866"/>
      <c r="G866"/>
      <c r="H866"/>
      <c r="I866"/>
      <c r="J866"/>
      <c r="K866"/>
      <c r="L866"/>
      <c r="M866"/>
      <c r="N866"/>
      <c r="O866"/>
      <c r="P866"/>
      <c r="Q866"/>
    </row>
    <row r="867" spans="6:17" x14ac:dyDescent="0.3">
      <c r="F867"/>
      <c r="G867"/>
      <c r="H867"/>
      <c r="I867"/>
      <c r="J867"/>
      <c r="K867"/>
      <c r="L867"/>
      <c r="M867"/>
      <c r="N867"/>
      <c r="O867"/>
      <c r="P867"/>
      <c r="Q867"/>
    </row>
    <row r="868" spans="6:17" x14ac:dyDescent="0.3">
      <c r="F868"/>
      <c r="G868"/>
      <c r="H868"/>
      <c r="I868"/>
      <c r="J868"/>
      <c r="K868"/>
      <c r="L868"/>
      <c r="M868"/>
      <c r="N868"/>
      <c r="O868"/>
      <c r="P868"/>
      <c r="Q868"/>
    </row>
    <row r="869" spans="6:17" x14ac:dyDescent="0.3">
      <c r="F869"/>
      <c r="G869"/>
      <c r="H869"/>
      <c r="I869"/>
      <c r="J869"/>
      <c r="K869"/>
      <c r="L869"/>
      <c r="M869"/>
      <c r="N869"/>
      <c r="O869"/>
      <c r="P869"/>
      <c r="Q869"/>
    </row>
    <row r="870" spans="6:17" x14ac:dyDescent="0.3">
      <c r="F870"/>
      <c r="G870"/>
      <c r="H870"/>
      <c r="I870"/>
      <c r="J870"/>
      <c r="K870"/>
      <c r="L870"/>
      <c r="M870"/>
      <c r="N870"/>
      <c r="O870"/>
      <c r="P870"/>
      <c r="Q870"/>
    </row>
    <row r="871" spans="6:17" x14ac:dyDescent="0.3">
      <c r="F871"/>
      <c r="G871"/>
      <c r="H871"/>
      <c r="I871"/>
      <c r="J871"/>
      <c r="K871"/>
      <c r="L871"/>
      <c r="M871"/>
      <c r="N871"/>
      <c r="O871"/>
      <c r="P871"/>
      <c r="Q871"/>
    </row>
    <row r="872" spans="6:17" x14ac:dyDescent="0.3">
      <c r="F872"/>
      <c r="G872"/>
      <c r="H872"/>
      <c r="I872"/>
      <c r="J872"/>
      <c r="K872"/>
      <c r="L872"/>
      <c r="M872"/>
      <c r="N872"/>
      <c r="O872"/>
      <c r="P872"/>
      <c r="Q872"/>
    </row>
    <row r="873" spans="6:17" x14ac:dyDescent="0.3">
      <c r="F873"/>
      <c r="G873"/>
      <c r="H873"/>
      <c r="I873"/>
      <c r="J873"/>
      <c r="K873"/>
      <c r="L873"/>
      <c r="M873"/>
      <c r="N873"/>
      <c r="O873"/>
      <c r="P873"/>
      <c r="Q873"/>
    </row>
    <row r="874" spans="6:17" x14ac:dyDescent="0.3">
      <c r="F874"/>
      <c r="G874"/>
      <c r="H874"/>
      <c r="I874"/>
      <c r="J874"/>
      <c r="K874"/>
      <c r="L874"/>
      <c r="M874"/>
      <c r="N874"/>
      <c r="O874"/>
      <c r="P874"/>
      <c r="Q874"/>
    </row>
    <row r="875" spans="6:17" x14ac:dyDescent="0.3">
      <c r="F875"/>
      <c r="G875"/>
      <c r="H875"/>
      <c r="I875"/>
      <c r="J875"/>
      <c r="K875"/>
      <c r="L875"/>
      <c r="M875"/>
      <c r="N875"/>
      <c r="O875"/>
      <c r="P875"/>
      <c r="Q875"/>
    </row>
    <row r="876" spans="6:17" x14ac:dyDescent="0.3">
      <c r="F876"/>
      <c r="G876"/>
      <c r="H876"/>
      <c r="I876"/>
      <c r="J876"/>
      <c r="K876"/>
      <c r="L876"/>
      <c r="M876"/>
      <c r="N876"/>
      <c r="O876"/>
      <c r="P876"/>
      <c r="Q876"/>
    </row>
    <row r="877" spans="6:17" x14ac:dyDescent="0.3">
      <c r="F877"/>
      <c r="G877"/>
      <c r="H877"/>
      <c r="I877"/>
      <c r="J877"/>
      <c r="K877"/>
      <c r="L877"/>
      <c r="M877"/>
      <c r="N877"/>
      <c r="O877"/>
      <c r="P877"/>
      <c r="Q877"/>
    </row>
    <row r="878" spans="6:17" x14ac:dyDescent="0.3">
      <c r="F878"/>
      <c r="G878"/>
      <c r="H878"/>
      <c r="I878"/>
      <c r="J878"/>
      <c r="K878"/>
      <c r="L878"/>
      <c r="M878"/>
      <c r="N878"/>
      <c r="O878"/>
      <c r="P878"/>
      <c r="Q878"/>
    </row>
    <row r="879" spans="6:17" x14ac:dyDescent="0.3">
      <c r="F879"/>
      <c r="G879"/>
      <c r="H879"/>
      <c r="I879"/>
      <c r="J879"/>
      <c r="K879"/>
      <c r="L879"/>
      <c r="M879"/>
      <c r="N879"/>
      <c r="O879"/>
      <c r="P879"/>
      <c r="Q879"/>
    </row>
    <row r="880" spans="6:17" x14ac:dyDescent="0.3">
      <c r="F880"/>
      <c r="G880"/>
      <c r="H880"/>
      <c r="I880"/>
      <c r="J880"/>
      <c r="K880"/>
      <c r="L880"/>
      <c r="M880"/>
      <c r="N880"/>
      <c r="O880"/>
      <c r="P880"/>
      <c r="Q880"/>
    </row>
    <row r="881" spans="6:17" x14ac:dyDescent="0.3">
      <c r="F881"/>
      <c r="G881"/>
      <c r="H881"/>
      <c r="I881"/>
      <c r="J881"/>
      <c r="K881"/>
      <c r="L881"/>
      <c r="M881"/>
      <c r="N881"/>
      <c r="O881"/>
      <c r="P881"/>
      <c r="Q881"/>
    </row>
    <row r="882" spans="6:17" x14ac:dyDescent="0.3">
      <c r="F882"/>
      <c r="G882"/>
      <c r="H882"/>
      <c r="I882"/>
      <c r="J882"/>
      <c r="K882"/>
      <c r="L882"/>
      <c r="M882"/>
      <c r="N882"/>
      <c r="O882"/>
      <c r="P882"/>
      <c r="Q882"/>
    </row>
    <row r="883" spans="6:17" x14ac:dyDescent="0.3">
      <c r="F883"/>
      <c r="G883"/>
      <c r="H883"/>
      <c r="I883"/>
      <c r="J883"/>
      <c r="K883"/>
      <c r="L883"/>
      <c r="M883"/>
      <c r="N883"/>
      <c r="O883"/>
      <c r="P883"/>
      <c r="Q883"/>
    </row>
    <row r="884" spans="6:17" x14ac:dyDescent="0.3">
      <c r="F884"/>
      <c r="G884"/>
      <c r="H884"/>
      <c r="I884"/>
      <c r="J884"/>
      <c r="K884"/>
      <c r="L884"/>
      <c r="M884"/>
      <c r="N884"/>
      <c r="O884"/>
      <c r="P884"/>
      <c r="Q884"/>
    </row>
    <row r="885" spans="6:17" x14ac:dyDescent="0.3">
      <c r="F885"/>
      <c r="G885"/>
      <c r="H885"/>
      <c r="I885"/>
      <c r="J885"/>
      <c r="K885"/>
      <c r="L885"/>
      <c r="M885"/>
      <c r="N885"/>
      <c r="O885"/>
      <c r="P885"/>
      <c r="Q885"/>
    </row>
    <row r="886" spans="6:17" x14ac:dyDescent="0.3">
      <c r="F886"/>
      <c r="G886"/>
      <c r="H886"/>
      <c r="I886"/>
      <c r="J886"/>
      <c r="K886"/>
      <c r="L886"/>
      <c r="M886"/>
      <c r="N886"/>
      <c r="O886"/>
      <c r="P886"/>
      <c r="Q886"/>
    </row>
    <row r="887" spans="6:17" x14ac:dyDescent="0.3">
      <c r="F887"/>
      <c r="G887"/>
      <c r="H887"/>
      <c r="I887"/>
      <c r="J887"/>
      <c r="K887"/>
      <c r="L887"/>
      <c r="M887"/>
      <c r="N887"/>
      <c r="O887"/>
      <c r="P887"/>
      <c r="Q887"/>
    </row>
    <row r="888" spans="6:17" x14ac:dyDescent="0.3">
      <c r="F888"/>
      <c r="G888"/>
      <c r="H888"/>
      <c r="I888"/>
      <c r="J888"/>
      <c r="K888"/>
      <c r="L888"/>
      <c r="M888"/>
      <c r="N888"/>
      <c r="O888"/>
      <c r="P888"/>
      <c r="Q888"/>
    </row>
    <row r="889" spans="6:17" x14ac:dyDescent="0.3">
      <c r="F889"/>
      <c r="G889"/>
      <c r="H889"/>
      <c r="I889"/>
      <c r="J889"/>
      <c r="K889"/>
      <c r="L889"/>
      <c r="M889"/>
      <c r="N889"/>
      <c r="O889"/>
      <c r="P889"/>
      <c r="Q889"/>
    </row>
    <row r="890" spans="6:17" x14ac:dyDescent="0.3">
      <c r="F890"/>
      <c r="G890"/>
      <c r="H890"/>
      <c r="I890"/>
      <c r="J890"/>
      <c r="K890"/>
      <c r="L890"/>
      <c r="M890"/>
      <c r="N890"/>
      <c r="O890"/>
      <c r="P890"/>
      <c r="Q890"/>
    </row>
    <row r="891" spans="6:17" x14ac:dyDescent="0.3">
      <c r="F891"/>
      <c r="G891"/>
      <c r="H891"/>
      <c r="I891"/>
      <c r="J891"/>
      <c r="K891"/>
      <c r="L891"/>
      <c r="M891"/>
      <c r="N891"/>
      <c r="O891"/>
      <c r="P891"/>
      <c r="Q891"/>
    </row>
    <row r="892" spans="6:17" x14ac:dyDescent="0.3">
      <c r="F892"/>
      <c r="G892"/>
      <c r="H892"/>
      <c r="I892"/>
      <c r="J892"/>
      <c r="K892"/>
      <c r="L892"/>
      <c r="M892"/>
      <c r="N892"/>
      <c r="O892"/>
      <c r="P892"/>
      <c r="Q892"/>
    </row>
    <row r="893" spans="6:17" x14ac:dyDescent="0.3">
      <c r="F893"/>
      <c r="G893"/>
      <c r="H893"/>
      <c r="I893"/>
      <c r="J893"/>
      <c r="K893"/>
      <c r="L893"/>
      <c r="M893"/>
      <c r="N893"/>
      <c r="O893"/>
      <c r="P893"/>
      <c r="Q893"/>
    </row>
    <row r="894" spans="6:17" x14ac:dyDescent="0.3">
      <c r="F894"/>
      <c r="G894"/>
      <c r="H894"/>
      <c r="I894"/>
      <c r="J894"/>
      <c r="K894"/>
      <c r="L894"/>
      <c r="M894"/>
      <c r="N894"/>
      <c r="O894"/>
      <c r="P894"/>
      <c r="Q894"/>
    </row>
    <row r="895" spans="6:17" x14ac:dyDescent="0.3">
      <c r="F895"/>
      <c r="G895"/>
      <c r="H895"/>
      <c r="I895"/>
      <c r="J895"/>
      <c r="K895"/>
      <c r="L895"/>
      <c r="M895"/>
      <c r="N895"/>
      <c r="O895"/>
      <c r="P895"/>
      <c r="Q895"/>
    </row>
    <row r="896" spans="6:17" x14ac:dyDescent="0.3">
      <c r="F896"/>
      <c r="G896"/>
      <c r="H896"/>
      <c r="I896"/>
      <c r="J896"/>
      <c r="K896"/>
      <c r="L896"/>
      <c r="M896"/>
      <c r="N896"/>
      <c r="O896"/>
      <c r="P896"/>
      <c r="Q896"/>
    </row>
    <row r="897" spans="6:17" x14ac:dyDescent="0.3">
      <c r="F897"/>
      <c r="G897"/>
      <c r="H897"/>
      <c r="I897"/>
      <c r="J897"/>
      <c r="K897"/>
      <c r="L897"/>
      <c r="M897"/>
      <c r="N897"/>
      <c r="O897"/>
      <c r="P897"/>
      <c r="Q897"/>
    </row>
    <row r="898" spans="6:17" x14ac:dyDescent="0.3">
      <c r="F898"/>
      <c r="G898"/>
      <c r="H898"/>
      <c r="I898"/>
      <c r="J898"/>
      <c r="K898"/>
      <c r="L898"/>
      <c r="M898"/>
      <c r="N898"/>
      <c r="O898"/>
      <c r="P898"/>
      <c r="Q898"/>
    </row>
    <row r="899" spans="6:17" x14ac:dyDescent="0.3">
      <c r="F899"/>
      <c r="G899"/>
      <c r="H899"/>
      <c r="I899"/>
      <c r="J899"/>
      <c r="K899"/>
      <c r="L899"/>
      <c r="M899"/>
      <c r="N899"/>
      <c r="O899"/>
      <c r="P899"/>
      <c r="Q899"/>
    </row>
    <row r="900" spans="6:17" x14ac:dyDescent="0.3">
      <c r="F900"/>
      <c r="G900"/>
      <c r="H900"/>
      <c r="I900"/>
      <c r="J900"/>
      <c r="K900"/>
      <c r="L900"/>
      <c r="M900"/>
      <c r="N900"/>
      <c r="O900"/>
      <c r="P900"/>
      <c r="Q900"/>
    </row>
    <row r="901" spans="6:17" x14ac:dyDescent="0.3">
      <c r="F901"/>
      <c r="G901"/>
      <c r="H901"/>
      <c r="I901"/>
      <c r="J901"/>
      <c r="K901"/>
      <c r="L901"/>
      <c r="M901"/>
      <c r="N901"/>
      <c r="O901"/>
      <c r="P901"/>
      <c r="Q901"/>
    </row>
    <row r="902" spans="6:17" x14ac:dyDescent="0.3">
      <c r="F902"/>
      <c r="G902"/>
      <c r="H902"/>
      <c r="I902"/>
      <c r="J902"/>
      <c r="K902"/>
      <c r="L902"/>
      <c r="M902"/>
      <c r="N902"/>
      <c r="O902"/>
      <c r="P902"/>
      <c r="Q902"/>
    </row>
    <row r="903" spans="6:17" x14ac:dyDescent="0.3">
      <c r="F903"/>
      <c r="G903"/>
      <c r="H903"/>
      <c r="I903"/>
      <c r="J903"/>
      <c r="K903"/>
      <c r="L903"/>
      <c r="M903"/>
      <c r="N903"/>
      <c r="O903"/>
      <c r="P903"/>
      <c r="Q903"/>
    </row>
    <row r="904" spans="6:17" x14ac:dyDescent="0.3">
      <c r="F904"/>
      <c r="G904"/>
      <c r="H904"/>
      <c r="I904"/>
      <c r="J904"/>
      <c r="K904"/>
      <c r="L904"/>
      <c r="M904"/>
      <c r="N904"/>
      <c r="O904"/>
      <c r="P904"/>
      <c r="Q904"/>
    </row>
    <row r="905" spans="6:17" x14ac:dyDescent="0.3">
      <c r="F905"/>
      <c r="G905"/>
      <c r="H905"/>
      <c r="I905"/>
      <c r="J905"/>
      <c r="K905"/>
      <c r="L905"/>
      <c r="M905"/>
      <c r="N905"/>
      <c r="O905"/>
      <c r="P905"/>
      <c r="Q905"/>
    </row>
    <row r="906" spans="6:17" x14ac:dyDescent="0.3">
      <c r="F906"/>
      <c r="G906"/>
      <c r="H906"/>
      <c r="I906"/>
      <c r="J906"/>
      <c r="K906"/>
      <c r="L906"/>
      <c r="M906"/>
      <c r="N906"/>
      <c r="O906"/>
      <c r="P906"/>
      <c r="Q906"/>
    </row>
    <row r="907" spans="6:17" x14ac:dyDescent="0.3">
      <c r="F907"/>
      <c r="G907"/>
      <c r="H907"/>
      <c r="I907"/>
      <c r="J907"/>
      <c r="K907"/>
      <c r="L907"/>
      <c r="M907"/>
      <c r="N907"/>
      <c r="O907"/>
      <c r="P907"/>
      <c r="Q907"/>
    </row>
    <row r="908" spans="6:17" x14ac:dyDescent="0.3">
      <c r="F908"/>
      <c r="G908"/>
      <c r="H908"/>
      <c r="I908"/>
      <c r="J908"/>
      <c r="K908"/>
      <c r="L908"/>
      <c r="M908"/>
      <c r="N908"/>
      <c r="O908"/>
      <c r="P908"/>
      <c r="Q908"/>
    </row>
    <row r="909" spans="6:17" x14ac:dyDescent="0.3">
      <c r="F909"/>
      <c r="G909"/>
      <c r="H909"/>
      <c r="I909"/>
      <c r="J909"/>
      <c r="K909"/>
      <c r="L909"/>
      <c r="M909"/>
      <c r="N909"/>
      <c r="O909"/>
      <c r="P909"/>
      <c r="Q909"/>
    </row>
    <row r="910" spans="6:17" x14ac:dyDescent="0.3">
      <c r="F910"/>
      <c r="G910"/>
      <c r="H910"/>
      <c r="I910"/>
      <c r="J910"/>
      <c r="K910"/>
      <c r="L910"/>
      <c r="M910"/>
      <c r="N910"/>
      <c r="O910"/>
      <c r="P910"/>
      <c r="Q910"/>
    </row>
    <row r="911" spans="6:17" x14ac:dyDescent="0.3">
      <c r="F911"/>
      <c r="G911"/>
      <c r="H911"/>
      <c r="I911"/>
      <c r="J911"/>
      <c r="K911"/>
      <c r="L911"/>
      <c r="M911"/>
      <c r="N911"/>
      <c r="O911"/>
      <c r="P911"/>
      <c r="Q911"/>
    </row>
    <row r="912" spans="6:17" x14ac:dyDescent="0.3">
      <c r="F912"/>
      <c r="G912"/>
      <c r="H912"/>
      <c r="I912"/>
      <c r="J912"/>
      <c r="K912"/>
      <c r="L912"/>
      <c r="M912"/>
      <c r="N912"/>
      <c r="O912"/>
      <c r="P912"/>
      <c r="Q912"/>
    </row>
    <row r="913" spans="6:17" x14ac:dyDescent="0.3">
      <c r="F913"/>
      <c r="G913"/>
      <c r="H913"/>
      <c r="I913"/>
      <c r="J913"/>
      <c r="K913"/>
      <c r="L913"/>
      <c r="M913"/>
      <c r="N913"/>
      <c r="O913"/>
      <c r="P913"/>
      <c r="Q913"/>
    </row>
    <row r="914" spans="6:17" x14ac:dyDescent="0.3">
      <c r="F914"/>
      <c r="G914"/>
      <c r="H914"/>
      <c r="I914"/>
      <c r="J914"/>
      <c r="K914"/>
      <c r="L914"/>
      <c r="M914"/>
      <c r="N914"/>
      <c r="O914"/>
      <c r="P914"/>
      <c r="Q914"/>
    </row>
    <row r="915" spans="6:17" x14ac:dyDescent="0.3">
      <c r="F915"/>
      <c r="G915"/>
      <c r="H915"/>
      <c r="I915"/>
      <c r="J915"/>
      <c r="K915"/>
      <c r="L915"/>
      <c r="M915"/>
      <c r="N915"/>
      <c r="O915"/>
      <c r="P915"/>
      <c r="Q915"/>
    </row>
    <row r="916" spans="6:17" x14ac:dyDescent="0.3">
      <c r="F916"/>
      <c r="G916"/>
      <c r="H916"/>
      <c r="I916"/>
      <c r="J916"/>
      <c r="K916"/>
      <c r="L916"/>
      <c r="M916"/>
      <c r="N916"/>
      <c r="O916"/>
      <c r="P916"/>
      <c r="Q916"/>
    </row>
    <row r="917" spans="6:17" x14ac:dyDescent="0.3">
      <c r="F917"/>
      <c r="G917"/>
      <c r="H917"/>
      <c r="I917"/>
      <c r="J917"/>
      <c r="K917"/>
      <c r="L917"/>
      <c r="M917"/>
      <c r="N917"/>
      <c r="O917"/>
      <c r="P917"/>
      <c r="Q917"/>
    </row>
    <row r="918" spans="6:17" x14ac:dyDescent="0.3">
      <c r="F918"/>
      <c r="G918"/>
      <c r="H918"/>
      <c r="I918"/>
      <c r="J918"/>
      <c r="K918"/>
      <c r="L918"/>
      <c r="M918"/>
      <c r="N918"/>
      <c r="O918"/>
      <c r="P918"/>
      <c r="Q918"/>
    </row>
    <row r="919" spans="6:17" x14ac:dyDescent="0.3">
      <c r="F919"/>
      <c r="G919"/>
      <c r="H919"/>
      <c r="I919"/>
      <c r="J919"/>
      <c r="K919"/>
      <c r="L919"/>
      <c r="M919"/>
      <c r="N919"/>
      <c r="O919"/>
      <c r="P919"/>
      <c r="Q919"/>
    </row>
    <row r="920" spans="6:17" x14ac:dyDescent="0.3">
      <c r="F920"/>
      <c r="G920"/>
      <c r="H920"/>
      <c r="I920"/>
      <c r="J920"/>
      <c r="K920"/>
      <c r="L920"/>
      <c r="M920"/>
      <c r="N920"/>
      <c r="O920"/>
      <c r="P920"/>
      <c r="Q920"/>
    </row>
    <row r="921" spans="6:17" x14ac:dyDescent="0.3">
      <c r="F921"/>
      <c r="G921"/>
      <c r="H921"/>
      <c r="I921"/>
      <c r="J921"/>
      <c r="K921"/>
      <c r="L921"/>
      <c r="M921"/>
      <c r="N921"/>
      <c r="O921"/>
      <c r="P921"/>
      <c r="Q921"/>
    </row>
    <row r="922" spans="6:17" x14ac:dyDescent="0.3">
      <c r="F922"/>
      <c r="G922"/>
      <c r="H922"/>
      <c r="I922"/>
      <c r="J922"/>
      <c r="K922"/>
      <c r="L922"/>
      <c r="M922"/>
      <c r="N922"/>
      <c r="O922"/>
      <c r="P922"/>
      <c r="Q922"/>
    </row>
    <row r="923" spans="6:17" x14ac:dyDescent="0.3">
      <c r="F923"/>
      <c r="G923"/>
      <c r="H923"/>
      <c r="I923"/>
      <c r="J923"/>
      <c r="K923"/>
      <c r="L923"/>
      <c r="M923"/>
      <c r="N923"/>
      <c r="O923"/>
      <c r="P923"/>
      <c r="Q923"/>
    </row>
    <row r="924" spans="6:17" x14ac:dyDescent="0.3">
      <c r="F924"/>
      <c r="G924"/>
      <c r="H924"/>
      <c r="I924"/>
      <c r="J924"/>
      <c r="K924"/>
      <c r="L924"/>
      <c r="M924"/>
      <c r="N924"/>
      <c r="O924"/>
      <c r="P924"/>
      <c r="Q924"/>
    </row>
    <row r="925" spans="6:17" x14ac:dyDescent="0.3">
      <c r="F925"/>
      <c r="G925"/>
      <c r="H925"/>
      <c r="I925"/>
      <c r="J925"/>
      <c r="K925"/>
      <c r="L925"/>
      <c r="M925"/>
      <c r="N925"/>
      <c r="O925"/>
      <c r="P925"/>
      <c r="Q925"/>
    </row>
    <row r="926" spans="6:17" x14ac:dyDescent="0.3">
      <c r="F926"/>
      <c r="G926"/>
      <c r="H926"/>
      <c r="I926"/>
      <c r="J926"/>
      <c r="K926"/>
      <c r="L926"/>
      <c r="M926"/>
      <c r="N926"/>
      <c r="O926"/>
      <c r="P926"/>
      <c r="Q926"/>
    </row>
    <row r="927" spans="6:17" x14ac:dyDescent="0.3">
      <c r="F927"/>
      <c r="G927"/>
      <c r="H927"/>
      <c r="I927"/>
      <c r="J927"/>
      <c r="K927"/>
      <c r="L927"/>
      <c r="M927"/>
      <c r="N927"/>
      <c r="O927"/>
      <c r="P927"/>
      <c r="Q927"/>
    </row>
    <row r="928" spans="6:17" x14ac:dyDescent="0.3">
      <c r="F928"/>
      <c r="G928"/>
      <c r="H928"/>
      <c r="I928"/>
      <c r="J928"/>
      <c r="K928"/>
      <c r="L928"/>
      <c r="M928"/>
      <c r="N928"/>
      <c r="O928"/>
      <c r="P928"/>
      <c r="Q928"/>
    </row>
    <row r="929" spans="6:17" x14ac:dyDescent="0.3">
      <c r="F929"/>
      <c r="G929"/>
      <c r="H929"/>
      <c r="I929"/>
      <c r="J929"/>
      <c r="K929"/>
      <c r="L929"/>
      <c r="M929"/>
      <c r="N929"/>
      <c r="O929"/>
      <c r="P929"/>
      <c r="Q929"/>
    </row>
    <row r="930" spans="6:17" x14ac:dyDescent="0.3">
      <c r="F930"/>
      <c r="G930"/>
      <c r="H930"/>
      <c r="I930"/>
      <c r="J930"/>
      <c r="K930"/>
      <c r="L930"/>
      <c r="M930"/>
      <c r="N930"/>
      <c r="O930"/>
      <c r="P930"/>
      <c r="Q930"/>
    </row>
    <row r="931" spans="6:17" x14ac:dyDescent="0.3">
      <c r="F931"/>
      <c r="G931"/>
      <c r="H931"/>
      <c r="I931"/>
      <c r="J931"/>
      <c r="K931"/>
      <c r="L931"/>
      <c r="M931"/>
      <c r="N931"/>
      <c r="O931"/>
      <c r="P931"/>
      <c r="Q931"/>
    </row>
    <row r="932" spans="6:17" x14ac:dyDescent="0.3">
      <c r="F932"/>
      <c r="G932"/>
      <c r="H932"/>
      <c r="I932"/>
      <c r="J932"/>
      <c r="K932"/>
      <c r="L932"/>
      <c r="M932"/>
      <c r="N932"/>
      <c r="O932"/>
      <c r="P932"/>
      <c r="Q932"/>
    </row>
    <row r="933" spans="6:17" x14ac:dyDescent="0.3">
      <c r="F933"/>
      <c r="G933"/>
      <c r="H933"/>
      <c r="I933"/>
      <c r="J933"/>
      <c r="K933"/>
      <c r="L933"/>
      <c r="M933"/>
      <c r="N933"/>
      <c r="O933"/>
      <c r="P933"/>
      <c r="Q933"/>
    </row>
    <row r="934" spans="6:17" x14ac:dyDescent="0.3">
      <c r="F934"/>
      <c r="G934"/>
      <c r="H934"/>
      <c r="I934"/>
      <c r="J934"/>
      <c r="K934"/>
      <c r="L934"/>
      <c r="M934"/>
      <c r="N934"/>
      <c r="O934"/>
      <c r="P934"/>
      <c r="Q934"/>
    </row>
    <row r="935" spans="6:17" x14ac:dyDescent="0.3">
      <c r="F935"/>
      <c r="G935"/>
      <c r="H935"/>
      <c r="I935"/>
      <c r="J935"/>
      <c r="K935"/>
      <c r="L935"/>
      <c r="M935"/>
      <c r="N935"/>
      <c r="O935"/>
      <c r="P935"/>
      <c r="Q935"/>
    </row>
    <row r="936" spans="6:17" x14ac:dyDescent="0.3">
      <c r="F936"/>
      <c r="G936"/>
      <c r="H936"/>
      <c r="I936"/>
      <c r="J936"/>
      <c r="K936"/>
      <c r="L936"/>
      <c r="M936"/>
      <c r="N936"/>
      <c r="O936"/>
      <c r="P936"/>
      <c r="Q936"/>
    </row>
    <row r="937" spans="6:17" x14ac:dyDescent="0.3">
      <c r="F937"/>
      <c r="G937"/>
      <c r="H937"/>
      <c r="I937"/>
      <c r="J937"/>
      <c r="K937"/>
      <c r="L937"/>
      <c r="M937"/>
      <c r="N937"/>
      <c r="O937"/>
      <c r="P937"/>
      <c r="Q937"/>
    </row>
    <row r="938" spans="6:17" x14ac:dyDescent="0.3">
      <c r="F938"/>
      <c r="G938"/>
      <c r="H938"/>
      <c r="I938"/>
      <c r="J938"/>
      <c r="K938"/>
      <c r="L938"/>
      <c r="M938"/>
      <c r="N938"/>
      <c r="O938"/>
      <c r="P938"/>
      <c r="Q938"/>
    </row>
    <row r="939" spans="6:17" x14ac:dyDescent="0.3">
      <c r="F939"/>
      <c r="G939"/>
      <c r="H939"/>
      <c r="I939"/>
      <c r="J939"/>
      <c r="K939"/>
      <c r="L939"/>
      <c r="M939"/>
      <c r="N939"/>
      <c r="O939"/>
      <c r="P939"/>
      <c r="Q939"/>
    </row>
    <row r="940" spans="6:17" x14ac:dyDescent="0.3">
      <c r="F940"/>
      <c r="G940"/>
      <c r="H940"/>
      <c r="I940"/>
      <c r="J940"/>
      <c r="K940"/>
      <c r="L940"/>
      <c r="M940"/>
      <c r="N940"/>
      <c r="O940"/>
      <c r="P940"/>
      <c r="Q940"/>
    </row>
    <row r="941" spans="6:17" x14ac:dyDescent="0.3">
      <c r="F941"/>
      <c r="G941"/>
      <c r="H941"/>
      <c r="I941"/>
      <c r="J941"/>
      <c r="K941"/>
      <c r="L941"/>
      <c r="M941"/>
      <c r="N941"/>
      <c r="O941"/>
      <c r="P941"/>
      <c r="Q941"/>
    </row>
    <row r="942" spans="6:17" x14ac:dyDescent="0.3">
      <c r="F942"/>
      <c r="G942"/>
      <c r="H942"/>
      <c r="I942"/>
      <c r="J942"/>
      <c r="K942"/>
      <c r="L942"/>
      <c r="M942"/>
      <c r="N942"/>
      <c r="O942"/>
      <c r="P942"/>
      <c r="Q942"/>
    </row>
    <row r="943" spans="6:17" x14ac:dyDescent="0.3">
      <c r="F943"/>
      <c r="G943"/>
      <c r="H943"/>
      <c r="I943"/>
      <c r="J943"/>
      <c r="K943"/>
      <c r="L943"/>
      <c r="M943"/>
      <c r="N943"/>
      <c r="O943"/>
      <c r="P943"/>
      <c r="Q943"/>
    </row>
    <row r="944" spans="6:17" x14ac:dyDescent="0.3">
      <c r="F944"/>
      <c r="G944"/>
      <c r="H944"/>
      <c r="I944"/>
      <c r="J944"/>
      <c r="K944"/>
      <c r="L944"/>
      <c r="M944"/>
      <c r="N944"/>
      <c r="O944"/>
      <c r="P944"/>
      <c r="Q944"/>
    </row>
    <row r="945" spans="6:17" x14ac:dyDescent="0.3">
      <c r="F945"/>
      <c r="G945"/>
      <c r="H945"/>
      <c r="I945"/>
      <c r="J945"/>
      <c r="K945"/>
      <c r="L945"/>
      <c r="M945"/>
      <c r="N945"/>
      <c r="O945"/>
      <c r="P945"/>
      <c r="Q945"/>
    </row>
    <row r="946" spans="6:17" x14ac:dyDescent="0.3">
      <c r="F946"/>
      <c r="G946"/>
      <c r="H946"/>
      <c r="I946"/>
      <c r="J946"/>
      <c r="K946"/>
      <c r="L946"/>
      <c r="M946"/>
      <c r="N946"/>
      <c r="O946"/>
      <c r="P946"/>
      <c r="Q946"/>
    </row>
    <row r="947" spans="6:17" x14ac:dyDescent="0.3">
      <c r="F947"/>
      <c r="G947"/>
      <c r="H947"/>
      <c r="I947"/>
      <c r="J947"/>
      <c r="K947"/>
      <c r="L947"/>
      <c r="M947"/>
      <c r="N947"/>
      <c r="O947"/>
      <c r="P947"/>
      <c r="Q947"/>
    </row>
    <row r="948" spans="6:17" x14ac:dyDescent="0.3">
      <c r="F948"/>
      <c r="G948"/>
      <c r="H948"/>
      <c r="I948"/>
      <c r="J948"/>
      <c r="K948"/>
      <c r="L948"/>
      <c r="M948"/>
      <c r="N948"/>
      <c r="O948"/>
      <c r="P948"/>
      <c r="Q948"/>
    </row>
    <row r="949" spans="6:17" x14ac:dyDescent="0.3">
      <c r="F949"/>
      <c r="G949"/>
      <c r="H949"/>
      <c r="I949"/>
      <c r="J949"/>
      <c r="K949"/>
      <c r="L949"/>
      <c r="M949"/>
      <c r="N949"/>
      <c r="O949"/>
      <c r="P949"/>
      <c r="Q949"/>
    </row>
    <row r="950" spans="6:17" x14ac:dyDescent="0.3">
      <c r="F950"/>
      <c r="G950"/>
      <c r="H950"/>
      <c r="I950"/>
      <c r="J950"/>
      <c r="K950"/>
      <c r="L950"/>
      <c r="M950"/>
      <c r="N950"/>
      <c r="O950"/>
      <c r="P950"/>
      <c r="Q950"/>
    </row>
    <row r="951" spans="6:17" x14ac:dyDescent="0.3">
      <c r="F951"/>
      <c r="G951"/>
      <c r="H951"/>
      <c r="I951"/>
      <c r="J951"/>
      <c r="K951"/>
      <c r="L951"/>
      <c r="M951"/>
      <c r="N951"/>
      <c r="O951"/>
      <c r="P951"/>
      <c r="Q951"/>
    </row>
    <row r="952" spans="6:17" x14ac:dyDescent="0.3">
      <c r="F952"/>
      <c r="G952"/>
      <c r="H952"/>
      <c r="I952"/>
      <c r="J952"/>
      <c r="K952"/>
      <c r="L952"/>
      <c r="M952"/>
      <c r="N952"/>
      <c r="O952"/>
      <c r="P952"/>
      <c r="Q952"/>
    </row>
    <row r="953" spans="6:17" x14ac:dyDescent="0.3">
      <c r="F953"/>
      <c r="G953"/>
      <c r="H953"/>
      <c r="I953"/>
      <c r="J953"/>
      <c r="K953"/>
      <c r="L953"/>
      <c r="M953"/>
      <c r="N953"/>
      <c r="O953"/>
      <c r="P953"/>
      <c r="Q953"/>
    </row>
    <row r="954" spans="6:17" x14ac:dyDescent="0.3">
      <c r="F954"/>
      <c r="G954"/>
      <c r="H954"/>
      <c r="I954"/>
      <c r="J954"/>
      <c r="K954"/>
      <c r="L954"/>
      <c r="M954"/>
      <c r="N954"/>
      <c r="O954"/>
      <c r="P954"/>
      <c r="Q954"/>
    </row>
    <row r="955" spans="6:17" x14ac:dyDescent="0.3">
      <c r="F955"/>
      <c r="G955"/>
      <c r="H955"/>
      <c r="I955"/>
      <c r="J955"/>
      <c r="K955"/>
      <c r="L955"/>
      <c r="M955"/>
      <c r="N955"/>
      <c r="O955"/>
      <c r="P955"/>
      <c r="Q955"/>
    </row>
    <row r="956" spans="6:17" x14ac:dyDescent="0.3">
      <c r="F956"/>
      <c r="G956"/>
      <c r="H956"/>
      <c r="I956"/>
      <c r="J956"/>
      <c r="K956"/>
      <c r="L956"/>
      <c r="M956"/>
      <c r="N956"/>
      <c r="O956"/>
      <c r="P956"/>
      <c r="Q956"/>
    </row>
    <row r="957" spans="6:17" x14ac:dyDescent="0.3">
      <c r="F957"/>
      <c r="G957"/>
      <c r="H957"/>
      <c r="I957"/>
      <c r="J957"/>
      <c r="K957"/>
      <c r="L957"/>
      <c r="M957"/>
      <c r="N957"/>
      <c r="O957"/>
      <c r="P957"/>
      <c r="Q957"/>
    </row>
    <row r="958" spans="6:17" x14ac:dyDescent="0.3">
      <c r="F958"/>
      <c r="G958"/>
      <c r="H958"/>
      <c r="I958"/>
      <c r="J958"/>
      <c r="K958"/>
      <c r="L958"/>
      <c r="M958"/>
      <c r="N958"/>
      <c r="O958"/>
      <c r="P958"/>
      <c r="Q958"/>
    </row>
    <row r="959" spans="6:17" x14ac:dyDescent="0.3">
      <c r="F959"/>
      <c r="G959"/>
      <c r="H959"/>
      <c r="I959"/>
      <c r="J959"/>
      <c r="K959"/>
      <c r="L959"/>
      <c r="M959"/>
      <c r="N959"/>
      <c r="O959"/>
      <c r="P959"/>
      <c r="Q959"/>
    </row>
    <row r="960" spans="6:17" x14ac:dyDescent="0.3">
      <c r="F960"/>
      <c r="G960"/>
      <c r="H960"/>
      <c r="I960"/>
      <c r="J960"/>
      <c r="K960"/>
      <c r="L960"/>
      <c r="M960"/>
      <c r="N960"/>
      <c r="O960"/>
      <c r="P960"/>
      <c r="Q960"/>
    </row>
    <row r="961" spans="6:17" x14ac:dyDescent="0.3">
      <c r="F961"/>
      <c r="G961"/>
      <c r="H961"/>
      <c r="I961"/>
      <c r="J961"/>
      <c r="K961"/>
      <c r="L961"/>
      <c r="M961"/>
      <c r="N961"/>
      <c r="O961"/>
      <c r="P961"/>
      <c r="Q961"/>
    </row>
    <row r="962" spans="6:17" x14ac:dyDescent="0.3">
      <c r="F962"/>
      <c r="G962"/>
      <c r="H962"/>
      <c r="I962"/>
      <c r="J962"/>
      <c r="K962"/>
      <c r="L962"/>
      <c r="M962"/>
      <c r="N962"/>
      <c r="O962"/>
      <c r="P962"/>
      <c r="Q962"/>
    </row>
    <row r="963" spans="6:17" x14ac:dyDescent="0.3">
      <c r="F963"/>
      <c r="G963"/>
      <c r="H963"/>
      <c r="I963"/>
      <c r="J963"/>
      <c r="K963"/>
      <c r="L963"/>
      <c r="M963"/>
      <c r="N963"/>
      <c r="O963"/>
      <c r="P963"/>
      <c r="Q963"/>
    </row>
    <row r="964" spans="6:17" x14ac:dyDescent="0.3">
      <c r="F964"/>
      <c r="G964"/>
      <c r="H964"/>
      <c r="I964"/>
      <c r="J964"/>
      <c r="K964"/>
      <c r="L964"/>
      <c r="M964"/>
      <c r="N964"/>
      <c r="O964"/>
      <c r="P964"/>
      <c r="Q964"/>
    </row>
    <row r="965" spans="6:17" x14ac:dyDescent="0.3">
      <c r="F965"/>
      <c r="G965"/>
      <c r="H965"/>
      <c r="I965"/>
      <c r="J965"/>
      <c r="K965"/>
      <c r="L965"/>
      <c r="M965"/>
      <c r="N965"/>
      <c r="O965"/>
      <c r="P965"/>
      <c r="Q965"/>
    </row>
    <row r="966" spans="6:17" x14ac:dyDescent="0.3">
      <c r="F966"/>
      <c r="G966"/>
      <c r="H966"/>
      <c r="I966"/>
      <c r="J966"/>
      <c r="K966"/>
      <c r="L966"/>
      <c r="M966"/>
      <c r="N966"/>
      <c r="O966"/>
      <c r="P966"/>
      <c r="Q966"/>
    </row>
    <row r="967" spans="6:17" x14ac:dyDescent="0.3">
      <c r="F967"/>
      <c r="G967"/>
      <c r="H967"/>
      <c r="I967"/>
      <c r="J967"/>
      <c r="K967"/>
      <c r="L967"/>
      <c r="M967"/>
      <c r="N967"/>
      <c r="O967"/>
      <c r="P967"/>
      <c r="Q967"/>
    </row>
    <row r="968" spans="6:17" x14ac:dyDescent="0.3">
      <c r="F968"/>
      <c r="G968"/>
      <c r="H968"/>
      <c r="I968"/>
      <c r="J968"/>
      <c r="K968"/>
      <c r="L968"/>
      <c r="M968"/>
      <c r="N968"/>
      <c r="O968"/>
      <c r="P968"/>
      <c r="Q968"/>
    </row>
    <row r="969" spans="6:17" x14ac:dyDescent="0.3">
      <c r="F969"/>
      <c r="G969"/>
      <c r="H969"/>
      <c r="I969"/>
      <c r="J969"/>
      <c r="K969"/>
      <c r="L969"/>
      <c r="M969"/>
      <c r="N969"/>
      <c r="O969"/>
      <c r="P969"/>
      <c r="Q969"/>
    </row>
    <row r="970" spans="6:17" x14ac:dyDescent="0.3">
      <c r="F970"/>
      <c r="G970"/>
      <c r="H970"/>
      <c r="I970"/>
      <c r="J970"/>
      <c r="K970"/>
      <c r="L970"/>
      <c r="M970"/>
      <c r="N970"/>
      <c r="O970"/>
      <c r="P970"/>
      <c r="Q970"/>
    </row>
    <row r="971" spans="6:17" x14ac:dyDescent="0.3">
      <c r="F971"/>
      <c r="G971"/>
      <c r="H971"/>
      <c r="I971"/>
      <c r="J971"/>
      <c r="K971"/>
      <c r="L971"/>
      <c r="M971"/>
      <c r="N971"/>
      <c r="O971"/>
      <c r="P971"/>
      <c r="Q971"/>
    </row>
    <row r="972" spans="6:17" x14ac:dyDescent="0.3">
      <c r="F972"/>
      <c r="G972"/>
      <c r="H972"/>
      <c r="I972"/>
      <c r="J972"/>
      <c r="K972"/>
      <c r="L972"/>
      <c r="M972"/>
      <c r="N972"/>
      <c r="O972"/>
      <c r="P972"/>
      <c r="Q972"/>
    </row>
    <row r="973" spans="6:17" x14ac:dyDescent="0.3">
      <c r="F973"/>
      <c r="G973"/>
      <c r="H973"/>
      <c r="I973"/>
      <c r="J973"/>
      <c r="K973"/>
      <c r="L973"/>
      <c r="M973"/>
      <c r="N973"/>
      <c r="O973"/>
      <c r="P973"/>
      <c r="Q973"/>
    </row>
    <row r="974" spans="6:17" x14ac:dyDescent="0.3">
      <c r="F974"/>
      <c r="G974"/>
      <c r="H974"/>
      <c r="I974"/>
      <c r="J974"/>
      <c r="K974"/>
      <c r="L974"/>
      <c r="M974"/>
      <c r="N974"/>
      <c r="O974"/>
      <c r="P974"/>
      <c r="Q974"/>
    </row>
    <row r="975" spans="6:17" x14ac:dyDescent="0.3">
      <c r="F975"/>
      <c r="G975"/>
      <c r="H975"/>
      <c r="I975"/>
      <c r="J975"/>
      <c r="K975"/>
      <c r="L975"/>
      <c r="M975"/>
      <c r="N975"/>
      <c r="O975"/>
      <c r="P975"/>
      <c r="Q975"/>
    </row>
    <row r="976" spans="6:17" x14ac:dyDescent="0.3">
      <c r="F976"/>
      <c r="G976"/>
      <c r="H976"/>
      <c r="I976"/>
      <c r="J976"/>
      <c r="K976"/>
      <c r="L976"/>
      <c r="M976"/>
      <c r="N976"/>
      <c r="O976"/>
      <c r="P976"/>
      <c r="Q976"/>
    </row>
    <row r="977" spans="6:17" x14ac:dyDescent="0.3">
      <c r="F977"/>
      <c r="G977"/>
      <c r="H977"/>
      <c r="I977"/>
      <c r="J977"/>
      <c r="K977"/>
      <c r="L977"/>
      <c r="M977"/>
      <c r="N977"/>
      <c r="O977"/>
      <c r="P977"/>
      <c r="Q977"/>
    </row>
    <row r="978" spans="6:17" x14ac:dyDescent="0.3">
      <c r="F978"/>
      <c r="G978"/>
      <c r="H978"/>
      <c r="I978"/>
      <c r="J978"/>
      <c r="K978"/>
      <c r="L978"/>
      <c r="M978"/>
      <c r="N978"/>
      <c r="O978"/>
      <c r="P978"/>
      <c r="Q978"/>
    </row>
    <row r="979" spans="6:17" x14ac:dyDescent="0.3">
      <c r="F979"/>
      <c r="G979"/>
      <c r="H979"/>
      <c r="I979"/>
      <c r="J979"/>
      <c r="K979"/>
      <c r="L979"/>
      <c r="M979"/>
      <c r="N979"/>
      <c r="O979"/>
      <c r="P979"/>
      <c r="Q979"/>
    </row>
    <row r="980" spans="6:17" x14ac:dyDescent="0.3">
      <c r="F980"/>
      <c r="G980"/>
      <c r="H980"/>
      <c r="I980"/>
      <c r="J980"/>
      <c r="K980"/>
      <c r="L980"/>
      <c r="M980"/>
      <c r="N980"/>
      <c r="O980"/>
      <c r="P980"/>
      <c r="Q980"/>
    </row>
    <row r="981" spans="6:17" x14ac:dyDescent="0.3">
      <c r="F981"/>
      <c r="G981"/>
      <c r="H981"/>
      <c r="I981"/>
      <c r="J981"/>
      <c r="K981"/>
      <c r="L981"/>
      <c r="M981"/>
      <c r="N981"/>
      <c r="O981"/>
      <c r="P981"/>
      <c r="Q981"/>
    </row>
    <row r="982" spans="6:17" x14ac:dyDescent="0.3">
      <c r="F982"/>
      <c r="G982"/>
      <c r="H982"/>
      <c r="I982"/>
      <c r="J982"/>
      <c r="K982"/>
      <c r="L982"/>
      <c r="M982"/>
      <c r="N982"/>
      <c r="O982"/>
      <c r="P982"/>
      <c r="Q982"/>
    </row>
    <row r="983" spans="6:17" x14ac:dyDescent="0.3">
      <c r="F983"/>
      <c r="G983"/>
      <c r="H983"/>
      <c r="I983"/>
      <c r="J983"/>
      <c r="K983"/>
      <c r="L983"/>
      <c r="M983"/>
      <c r="N983"/>
      <c r="O983"/>
      <c r="P983"/>
      <c r="Q983"/>
    </row>
    <row r="984" spans="6:17" x14ac:dyDescent="0.3">
      <c r="F984"/>
      <c r="G984"/>
      <c r="H984"/>
      <c r="I984"/>
      <c r="J984"/>
      <c r="K984"/>
      <c r="L984"/>
      <c r="M984"/>
      <c r="N984"/>
      <c r="O984"/>
      <c r="P984"/>
      <c r="Q984"/>
    </row>
    <row r="985" spans="6:17" x14ac:dyDescent="0.3">
      <c r="F985"/>
      <c r="G985"/>
      <c r="H985"/>
      <c r="I985"/>
      <c r="J985"/>
      <c r="K985"/>
      <c r="L985"/>
      <c r="M985"/>
      <c r="N985"/>
      <c r="O985"/>
      <c r="P985"/>
      <c r="Q985"/>
    </row>
    <row r="986" spans="6:17" x14ac:dyDescent="0.3">
      <c r="F986"/>
      <c r="G986"/>
      <c r="H986"/>
      <c r="I986"/>
      <c r="J986"/>
      <c r="K986"/>
      <c r="L986"/>
      <c r="M986"/>
      <c r="N986"/>
      <c r="O986"/>
      <c r="P986"/>
      <c r="Q986"/>
    </row>
    <row r="987" spans="6:17" x14ac:dyDescent="0.3">
      <c r="F987"/>
      <c r="G987"/>
      <c r="H987"/>
      <c r="I987"/>
      <c r="J987"/>
      <c r="K987"/>
      <c r="L987"/>
      <c r="M987"/>
      <c r="N987"/>
      <c r="O987"/>
      <c r="P987"/>
      <c r="Q987"/>
    </row>
    <row r="988" spans="6:17" x14ac:dyDescent="0.3">
      <c r="F988"/>
      <c r="G988"/>
      <c r="H988"/>
      <c r="I988"/>
      <c r="J988"/>
      <c r="K988"/>
      <c r="L988"/>
      <c r="M988"/>
      <c r="N988"/>
      <c r="O988"/>
      <c r="P988"/>
      <c r="Q988"/>
    </row>
    <row r="989" spans="6:17" x14ac:dyDescent="0.3">
      <c r="F989"/>
      <c r="G989"/>
      <c r="H989"/>
      <c r="I989"/>
      <c r="J989"/>
      <c r="K989"/>
      <c r="L989"/>
      <c r="M989"/>
      <c r="N989"/>
      <c r="O989"/>
      <c r="P989"/>
      <c r="Q989"/>
    </row>
    <row r="990" spans="6:17" x14ac:dyDescent="0.3">
      <c r="F990"/>
      <c r="G990"/>
      <c r="H990"/>
      <c r="I990"/>
      <c r="J990"/>
      <c r="K990"/>
      <c r="L990"/>
      <c r="M990"/>
      <c r="N990"/>
      <c r="O990"/>
      <c r="P990"/>
      <c r="Q990"/>
    </row>
    <row r="991" spans="6:17" x14ac:dyDescent="0.3">
      <c r="F991"/>
      <c r="G991"/>
      <c r="H991"/>
      <c r="I991"/>
      <c r="J991"/>
      <c r="K991"/>
      <c r="L991"/>
      <c r="M991"/>
      <c r="N991"/>
      <c r="O991"/>
      <c r="P991"/>
      <c r="Q991"/>
    </row>
    <row r="992" spans="6:17" x14ac:dyDescent="0.3">
      <c r="F992"/>
      <c r="G992"/>
      <c r="H992"/>
      <c r="I992"/>
      <c r="J992"/>
      <c r="K992"/>
      <c r="L992"/>
      <c r="M992"/>
      <c r="N992"/>
      <c r="O992"/>
      <c r="P992"/>
      <c r="Q992"/>
    </row>
    <row r="993" spans="6:17" x14ac:dyDescent="0.3">
      <c r="F993"/>
      <c r="G993"/>
      <c r="H993"/>
      <c r="I993"/>
      <c r="J993"/>
      <c r="K993"/>
      <c r="L993"/>
      <c r="M993"/>
      <c r="N993"/>
      <c r="O993"/>
      <c r="P993"/>
      <c r="Q993"/>
    </row>
    <row r="994" spans="6:17" x14ac:dyDescent="0.3">
      <c r="F994"/>
      <c r="G994"/>
      <c r="H994"/>
      <c r="I994"/>
      <c r="J994"/>
      <c r="K994"/>
      <c r="L994"/>
      <c r="M994"/>
      <c r="N994"/>
      <c r="O994"/>
      <c r="P994"/>
      <c r="Q994"/>
    </row>
    <row r="995" spans="6:17" x14ac:dyDescent="0.3">
      <c r="F995"/>
      <c r="G995"/>
      <c r="H995"/>
      <c r="I995"/>
      <c r="J995"/>
      <c r="K995"/>
      <c r="L995"/>
      <c r="M995"/>
      <c r="N995"/>
      <c r="O995"/>
      <c r="P995"/>
      <c r="Q995"/>
    </row>
    <row r="996" spans="6:17" x14ac:dyDescent="0.3">
      <c r="F996"/>
      <c r="G996"/>
      <c r="H996"/>
      <c r="I996"/>
      <c r="J996"/>
      <c r="K996"/>
      <c r="L996"/>
      <c r="M996"/>
      <c r="N996"/>
      <c r="O996"/>
      <c r="P996"/>
      <c r="Q996"/>
    </row>
    <row r="997" spans="6:17" x14ac:dyDescent="0.3">
      <c r="F997"/>
      <c r="G997"/>
      <c r="H997"/>
      <c r="I997"/>
      <c r="J997"/>
      <c r="K997"/>
      <c r="L997"/>
      <c r="M997"/>
      <c r="N997"/>
      <c r="O997"/>
      <c r="P997"/>
      <c r="Q997"/>
    </row>
    <row r="998" spans="6:17" x14ac:dyDescent="0.3">
      <c r="F998"/>
      <c r="G998"/>
      <c r="H998"/>
      <c r="I998"/>
      <c r="J998"/>
      <c r="K998"/>
      <c r="L998"/>
      <c r="M998"/>
      <c r="N998"/>
      <c r="O998"/>
      <c r="P998"/>
      <c r="Q998"/>
    </row>
    <row r="999" spans="6:17" x14ac:dyDescent="0.3">
      <c r="F999"/>
      <c r="G999"/>
      <c r="H999"/>
      <c r="I999"/>
      <c r="J999"/>
      <c r="K999"/>
      <c r="L999"/>
      <c r="M999"/>
      <c r="N999"/>
      <c r="O999"/>
      <c r="P999"/>
      <c r="Q999"/>
    </row>
    <row r="1000" spans="6:17" x14ac:dyDescent="0.3">
      <c r="F1000"/>
      <c r="G1000"/>
      <c r="H1000"/>
      <c r="I1000"/>
      <c r="J1000"/>
      <c r="K1000"/>
      <c r="L1000"/>
      <c r="M1000"/>
      <c r="N1000"/>
      <c r="O1000"/>
      <c r="P1000"/>
      <c r="Q1000"/>
    </row>
    <row r="1001" spans="6:17" x14ac:dyDescent="0.3">
      <c r="F1001"/>
      <c r="G1001"/>
      <c r="H1001"/>
      <c r="I1001"/>
      <c r="J1001"/>
      <c r="K1001"/>
      <c r="L1001"/>
      <c r="M1001"/>
      <c r="N1001"/>
      <c r="O1001"/>
      <c r="P1001"/>
      <c r="Q1001"/>
    </row>
    <row r="1002" spans="6:17" x14ac:dyDescent="0.3">
      <c r="F1002"/>
      <c r="G1002"/>
      <c r="H1002"/>
      <c r="I1002"/>
      <c r="J1002"/>
      <c r="K1002"/>
      <c r="L1002"/>
      <c r="M1002"/>
      <c r="N1002"/>
      <c r="O1002"/>
      <c r="P1002"/>
      <c r="Q1002"/>
    </row>
    <row r="1003" spans="6:17" x14ac:dyDescent="0.3">
      <c r="F1003"/>
      <c r="G1003"/>
      <c r="H1003"/>
      <c r="I1003"/>
      <c r="J1003"/>
      <c r="K1003"/>
      <c r="L1003"/>
      <c r="M1003"/>
      <c r="N1003"/>
      <c r="O1003"/>
      <c r="P1003"/>
      <c r="Q1003"/>
    </row>
    <row r="1004" spans="6:17" x14ac:dyDescent="0.3">
      <c r="F1004"/>
      <c r="G1004"/>
      <c r="H1004"/>
      <c r="I1004"/>
      <c r="J1004"/>
      <c r="K1004"/>
      <c r="L1004"/>
      <c r="M1004"/>
      <c r="N1004"/>
      <c r="O1004"/>
      <c r="P1004"/>
      <c r="Q1004"/>
    </row>
    <row r="1005" spans="6:17" x14ac:dyDescent="0.3">
      <c r="F1005"/>
      <c r="G1005"/>
      <c r="H1005"/>
      <c r="I1005"/>
      <c r="J1005"/>
      <c r="K1005"/>
      <c r="L1005"/>
      <c r="M1005"/>
      <c r="N1005"/>
      <c r="O1005"/>
      <c r="P1005"/>
      <c r="Q1005"/>
    </row>
    <row r="1006" spans="6:17" x14ac:dyDescent="0.3">
      <c r="F1006"/>
      <c r="G1006"/>
      <c r="H1006"/>
      <c r="I1006"/>
      <c r="J1006"/>
      <c r="K1006"/>
      <c r="L1006"/>
      <c r="M1006"/>
      <c r="N1006"/>
      <c r="O1006"/>
      <c r="P1006"/>
      <c r="Q1006"/>
    </row>
    <row r="1007" spans="6:17" x14ac:dyDescent="0.3">
      <c r="F1007"/>
      <c r="G1007"/>
      <c r="H1007"/>
      <c r="I1007"/>
      <c r="J1007"/>
      <c r="K1007"/>
      <c r="L1007"/>
      <c r="M1007"/>
      <c r="N1007"/>
      <c r="O1007"/>
      <c r="P1007"/>
      <c r="Q1007"/>
    </row>
    <row r="1008" spans="6:17" x14ac:dyDescent="0.3">
      <c r="F1008"/>
      <c r="G1008"/>
      <c r="H1008"/>
      <c r="I1008"/>
      <c r="J1008"/>
      <c r="K1008"/>
      <c r="L1008"/>
      <c r="M1008"/>
      <c r="N1008"/>
      <c r="O1008"/>
      <c r="P1008"/>
      <c r="Q1008"/>
    </row>
    <row r="1009" spans="6:17" x14ac:dyDescent="0.3">
      <c r="F1009"/>
      <c r="G1009"/>
      <c r="H1009"/>
      <c r="I1009"/>
      <c r="J1009"/>
      <c r="K1009"/>
      <c r="L1009"/>
      <c r="M1009"/>
      <c r="N1009"/>
      <c r="O1009"/>
      <c r="P1009"/>
      <c r="Q1009"/>
    </row>
    <row r="1010" spans="6:17" x14ac:dyDescent="0.3">
      <c r="F1010"/>
      <c r="G1010"/>
      <c r="H1010"/>
      <c r="I1010"/>
      <c r="J1010"/>
      <c r="K1010"/>
      <c r="L1010"/>
      <c r="M1010"/>
      <c r="N1010"/>
      <c r="O1010"/>
      <c r="P1010"/>
      <c r="Q1010"/>
    </row>
    <row r="1011" spans="6:17" x14ac:dyDescent="0.3">
      <c r="F1011"/>
      <c r="G1011"/>
      <c r="H1011"/>
      <c r="I1011"/>
      <c r="J1011"/>
      <c r="K1011"/>
      <c r="L1011"/>
      <c r="M1011"/>
      <c r="N1011"/>
      <c r="O1011"/>
      <c r="P1011"/>
      <c r="Q1011"/>
    </row>
    <row r="1012" spans="6:17" x14ac:dyDescent="0.3">
      <c r="F1012"/>
      <c r="G1012"/>
      <c r="H1012"/>
      <c r="I1012"/>
      <c r="J1012"/>
      <c r="K1012"/>
      <c r="L1012"/>
      <c r="M1012"/>
      <c r="N1012"/>
      <c r="O1012"/>
      <c r="P1012"/>
      <c r="Q1012"/>
    </row>
    <row r="1013" spans="6:17" x14ac:dyDescent="0.3">
      <c r="F1013"/>
      <c r="G1013"/>
      <c r="H1013"/>
      <c r="I1013"/>
      <c r="J1013"/>
      <c r="K1013"/>
      <c r="L1013"/>
      <c r="M1013"/>
      <c r="N1013"/>
      <c r="O1013"/>
      <c r="P1013"/>
      <c r="Q1013"/>
    </row>
    <row r="1014" spans="6:17" x14ac:dyDescent="0.3">
      <c r="F1014"/>
      <c r="G1014"/>
      <c r="H1014"/>
      <c r="I1014"/>
      <c r="J1014"/>
      <c r="K1014"/>
      <c r="L1014"/>
      <c r="M1014"/>
      <c r="N1014"/>
      <c r="O1014"/>
      <c r="P1014"/>
      <c r="Q1014"/>
    </row>
    <row r="1015" spans="6:17" x14ac:dyDescent="0.3">
      <c r="F1015"/>
      <c r="G1015"/>
      <c r="H1015"/>
      <c r="I1015"/>
      <c r="J1015"/>
      <c r="K1015"/>
      <c r="L1015"/>
      <c r="M1015"/>
      <c r="N1015"/>
      <c r="O1015"/>
      <c r="P1015"/>
      <c r="Q1015"/>
    </row>
    <row r="1016" spans="6:17" x14ac:dyDescent="0.3">
      <c r="F1016"/>
      <c r="G1016"/>
      <c r="H1016"/>
      <c r="I1016"/>
      <c r="J1016"/>
      <c r="K1016"/>
      <c r="L1016"/>
      <c r="M1016"/>
      <c r="N1016"/>
      <c r="O1016"/>
      <c r="P1016"/>
      <c r="Q1016"/>
    </row>
    <row r="1017" spans="6:17" x14ac:dyDescent="0.3">
      <c r="F1017"/>
      <c r="G1017"/>
      <c r="H1017"/>
      <c r="I1017"/>
      <c r="J1017"/>
      <c r="K1017"/>
      <c r="L1017"/>
      <c r="M1017"/>
      <c r="N1017"/>
      <c r="O1017"/>
      <c r="P1017"/>
      <c r="Q1017"/>
    </row>
    <row r="1018" spans="6:17" x14ac:dyDescent="0.3">
      <c r="F1018"/>
      <c r="G1018"/>
      <c r="H1018"/>
      <c r="I1018"/>
      <c r="J1018"/>
      <c r="K1018"/>
      <c r="L1018"/>
      <c r="M1018"/>
      <c r="N1018"/>
      <c r="O1018"/>
      <c r="P1018"/>
      <c r="Q1018"/>
    </row>
    <row r="1019" spans="6:17" x14ac:dyDescent="0.3">
      <c r="F1019"/>
      <c r="G1019"/>
      <c r="H1019"/>
      <c r="I1019"/>
      <c r="J1019"/>
      <c r="K1019"/>
      <c r="L1019"/>
      <c r="M1019"/>
      <c r="N1019"/>
      <c r="O1019"/>
      <c r="P1019"/>
      <c r="Q1019"/>
    </row>
    <row r="1020" spans="6:17" x14ac:dyDescent="0.3">
      <c r="F1020"/>
      <c r="G1020"/>
      <c r="H1020"/>
      <c r="I1020"/>
      <c r="J1020"/>
      <c r="K1020"/>
      <c r="L1020"/>
      <c r="M1020"/>
      <c r="N1020"/>
      <c r="O1020"/>
      <c r="P1020"/>
      <c r="Q1020"/>
    </row>
    <row r="1021" spans="6:17" x14ac:dyDescent="0.3">
      <c r="F1021"/>
      <c r="G1021"/>
      <c r="H1021"/>
      <c r="I1021"/>
      <c r="J1021"/>
      <c r="K1021"/>
      <c r="L1021"/>
      <c r="M1021"/>
      <c r="N1021"/>
      <c r="O1021"/>
      <c r="P1021"/>
      <c r="Q1021"/>
    </row>
    <row r="1022" spans="6:17" x14ac:dyDescent="0.3">
      <c r="F1022"/>
      <c r="G1022"/>
      <c r="H1022"/>
      <c r="I1022"/>
      <c r="J1022"/>
      <c r="K1022"/>
      <c r="L1022"/>
      <c r="M1022"/>
      <c r="N1022"/>
      <c r="O1022"/>
      <c r="P1022"/>
      <c r="Q1022"/>
    </row>
    <row r="1023" spans="6:17" x14ac:dyDescent="0.3">
      <c r="F1023"/>
      <c r="G1023"/>
      <c r="H1023"/>
      <c r="I1023"/>
      <c r="J1023"/>
      <c r="K1023"/>
      <c r="L1023"/>
      <c r="M1023"/>
      <c r="N1023"/>
      <c r="O1023"/>
      <c r="P1023"/>
      <c r="Q1023"/>
    </row>
    <row r="1024" spans="6:17" x14ac:dyDescent="0.3">
      <c r="F1024"/>
      <c r="G1024"/>
      <c r="H1024"/>
      <c r="I1024"/>
      <c r="J1024"/>
      <c r="K1024"/>
      <c r="L1024"/>
      <c r="M1024"/>
      <c r="N1024"/>
      <c r="O1024"/>
      <c r="P1024"/>
      <c r="Q1024"/>
    </row>
    <row r="1025" spans="6:17" x14ac:dyDescent="0.3">
      <c r="F1025"/>
      <c r="G1025"/>
      <c r="H1025"/>
      <c r="I1025"/>
      <c r="J1025"/>
      <c r="K1025"/>
      <c r="L1025"/>
      <c r="M1025"/>
      <c r="N1025"/>
      <c r="O1025"/>
      <c r="P1025"/>
      <c r="Q1025"/>
    </row>
    <row r="1026" spans="6:17" x14ac:dyDescent="0.3">
      <c r="F1026"/>
      <c r="G1026"/>
      <c r="H1026"/>
      <c r="I1026"/>
      <c r="J1026"/>
      <c r="K1026"/>
      <c r="L1026"/>
      <c r="M1026"/>
      <c r="N1026"/>
      <c r="O1026"/>
      <c r="P1026"/>
      <c r="Q1026"/>
    </row>
    <row r="1027" spans="6:17" x14ac:dyDescent="0.3">
      <c r="F1027"/>
      <c r="G1027"/>
      <c r="H1027"/>
      <c r="I1027"/>
      <c r="J1027"/>
      <c r="K1027"/>
      <c r="L1027"/>
      <c r="M1027"/>
      <c r="N1027"/>
      <c r="O1027"/>
      <c r="P1027"/>
      <c r="Q1027"/>
    </row>
    <row r="1028" spans="6:17" x14ac:dyDescent="0.3">
      <c r="F1028"/>
      <c r="G1028"/>
      <c r="H1028"/>
      <c r="I1028"/>
      <c r="J1028"/>
      <c r="K1028"/>
      <c r="L1028"/>
      <c r="M1028"/>
      <c r="N1028"/>
      <c r="O1028"/>
      <c r="P1028"/>
      <c r="Q1028"/>
    </row>
    <row r="1029" spans="6:17" x14ac:dyDescent="0.3">
      <c r="F1029"/>
      <c r="G1029"/>
      <c r="H1029"/>
      <c r="I1029"/>
      <c r="J1029"/>
      <c r="K1029"/>
      <c r="L1029"/>
      <c r="M1029"/>
      <c r="N1029"/>
      <c r="O1029"/>
      <c r="P1029"/>
      <c r="Q1029"/>
    </row>
    <row r="1030" spans="6:17" x14ac:dyDescent="0.3">
      <c r="F1030"/>
      <c r="G1030"/>
      <c r="H1030"/>
      <c r="I1030"/>
      <c r="J1030"/>
      <c r="K1030"/>
      <c r="L1030"/>
      <c r="M1030"/>
      <c r="N1030"/>
      <c r="O1030"/>
      <c r="P1030"/>
      <c r="Q1030"/>
    </row>
    <row r="1031" spans="6:17" x14ac:dyDescent="0.3">
      <c r="F1031"/>
      <c r="G1031"/>
      <c r="H1031"/>
      <c r="I1031"/>
      <c r="J1031"/>
      <c r="K1031"/>
      <c r="L1031"/>
      <c r="M1031"/>
      <c r="N1031"/>
      <c r="O1031"/>
      <c r="P1031"/>
      <c r="Q1031"/>
    </row>
    <row r="1032" spans="6:17" x14ac:dyDescent="0.3">
      <c r="F1032"/>
      <c r="G1032"/>
      <c r="H1032"/>
      <c r="I1032"/>
      <c r="J1032"/>
      <c r="K1032"/>
      <c r="L1032"/>
      <c r="M1032"/>
      <c r="N1032"/>
      <c r="O1032"/>
      <c r="P1032"/>
      <c r="Q1032"/>
    </row>
    <row r="1033" spans="6:17" x14ac:dyDescent="0.3">
      <c r="F1033"/>
      <c r="G1033"/>
      <c r="H1033"/>
      <c r="I1033"/>
      <c r="J1033"/>
      <c r="K1033"/>
      <c r="L1033"/>
      <c r="M1033"/>
      <c r="N1033"/>
      <c r="O1033"/>
      <c r="P1033"/>
      <c r="Q1033"/>
    </row>
    <row r="1034" spans="6:17" x14ac:dyDescent="0.3">
      <c r="F1034"/>
      <c r="G1034"/>
      <c r="H1034"/>
      <c r="I1034"/>
      <c r="J1034"/>
      <c r="K1034"/>
      <c r="L1034"/>
      <c r="M1034"/>
      <c r="N1034"/>
      <c r="O1034"/>
      <c r="P1034"/>
      <c r="Q1034"/>
    </row>
    <row r="1035" spans="6:17" x14ac:dyDescent="0.3">
      <c r="F1035"/>
      <c r="G1035"/>
      <c r="H1035"/>
      <c r="I1035"/>
      <c r="J1035"/>
      <c r="K1035"/>
      <c r="L1035"/>
      <c r="M1035"/>
      <c r="N1035"/>
      <c r="O1035"/>
      <c r="P1035"/>
      <c r="Q1035"/>
    </row>
    <row r="1036" spans="6:17" x14ac:dyDescent="0.3">
      <c r="F1036"/>
      <c r="G1036"/>
      <c r="H1036"/>
      <c r="I1036"/>
      <c r="J1036"/>
      <c r="K1036"/>
      <c r="L1036"/>
      <c r="M1036"/>
      <c r="N1036"/>
      <c r="O1036"/>
      <c r="P1036"/>
      <c r="Q1036"/>
    </row>
    <row r="1037" spans="6:17" x14ac:dyDescent="0.3">
      <c r="F1037"/>
      <c r="G1037"/>
      <c r="H1037"/>
      <c r="I1037"/>
      <c r="J1037"/>
      <c r="K1037"/>
      <c r="L1037"/>
      <c r="M1037"/>
      <c r="N1037"/>
      <c r="O1037"/>
      <c r="P1037"/>
      <c r="Q1037"/>
    </row>
    <row r="1038" spans="6:17" x14ac:dyDescent="0.3">
      <c r="F1038"/>
      <c r="G1038"/>
      <c r="H1038"/>
      <c r="I1038"/>
      <c r="J1038"/>
      <c r="K1038"/>
      <c r="L1038"/>
      <c r="M1038"/>
      <c r="N1038"/>
      <c r="O1038"/>
      <c r="P1038"/>
      <c r="Q1038"/>
    </row>
    <row r="1039" spans="6:17" x14ac:dyDescent="0.3">
      <c r="F1039"/>
      <c r="G1039"/>
      <c r="H1039"/>
      <c r="I1039"/>
      <c r="J1039"/>
      <c r="K1039"/>
      <c r="L1039"/>
      <c r="M1039"/>
      <c r="N1039"/>
      <c r="O1039"/>
      <c r="P1039"/>
      <c r="Q1039"/>
    </row>
    <row r="1040" spans="6:17" x14ac:dyDescent="0.3">
      <c r="F1040"/>
      <c r="G1040"/>
      <c r="H1040"/>
      <c r="I1040"/>
      <c r="J1040"/>
      <c r="K1040"/>
      <c r="L1040"/>
      <c r="M1040"/>
      <c r="N1040"/>
      <c r="O1040"/>
      <c r="P1040"/>
      <c r="Q1040"/>
    </row>
    <row r="1041" spans="6:17" x14ac:dyDescent="0.3">
      <c r="F1041"/>
      <c r="G1041"/>
      <c r="H1041"/>
      <c r="I1041"/>
      <c r="J1041"/>
      <c r="K1041"/>
      <c r="L1041"/>
      <c r="M1041"/>
      <c r="N1041"/>
      <c r="O1041"/>
      <c r="P1041"/>
      <c r="Q1041"/>
    </row>
    <row r="1042" spans="6:17" x14ac:dyDescent="0.3">
      <c r="F1042"/>
      <c r="G1042"/>
      <c r="H1042"/>
      <c r="I1042"/>
      <c r="J1042"/>
      <c r="K1042"/>
      <c r="L1042"/>
      <c r="M1042"/>
      <c r="N1042"/>
      <c r="O1042"/>
      <c r="P1042"/>
      <c r="Q1042"/>
    </row>
    <row r="1043" spans="6:17" x14ac:dyDescent="0.3">
      <c r="F1043"/>
      <c r="G1043"/>
      <c r="H1043"/>
      <c r="I1043"/>
      <c r="J1043"/>
      <c r="K1043"/>
      <c r="L1043"/>
      <c r="M1043"/>
      <c r="N1043"/>
      <c r="O1043"/>
      <c r="P1043"/>
      <c r="Q1043"/>
    </row>
    <row r="1044" spans="6:17" x14ac:dyDescent="0.3">
      <c r="F1044"/>
      <c r="G1044"/>
      <c r="H1044"/>
      <c r="I1044"/>
      <c r="J1044"/>
      <c r="K1044"/>
      <c r="L1044"/>
      <c r="M1044"/>
      <c r="N1044"/>
      <c r="O1044"/>
      <c r="P1044"/>
      <c r="Q1044"/>
    </row>
    <row r="1045" spans="6:17" x14ac:dyDescent="0.3">
      <c r="F1045"/>
      <c r="G1045"/>
      <c r="H1045"/>
      <c r="I1045"/>
      <c r="J1045"/>
      <c r="K1045"/>
      <c r="L1045"/>
      <c r="M1045"/>
      <c r="N1045"/>
      <c r="O1045"/>
      <c r="P1045"/>
      <c r="Q1045"/>
    </row>
    <row r="1046" spans="6:17" x14ac:dyDescent="0.3">
      <c r="F1046"/>
      <c r="G1046"/>
      <c r="H1046"/>
      <c r="I1046"/>
      <c r="J1046"/>
      <c r="K1046"/>
      <c r="L1046"/>
      <c r="M1046"/>
      <c r="N1046"/>
      <c r="O1046"/>
      <c r="P1046"/>
      <c r="Q1046"/>
    </row>
    <row r="1047" spans="6:17" x14ac:dyDescent="0.3">
      <c r="F1047"/>
      <c r="G1047"/>
      <c r="H1047"/>
      <c r="I1047"/>
      <c r="J1047"/>
      <c r="K1047"/>
      <c r="L1047"/>
      <c r="M1047"/>
      <c r="N1047"/>
      <c r="O1047"/>
      <c r="P1047"/>
      <c r="Q1047"/>
    </row>
    <row r="1048" spans="6:17" x14ac:dyDescent="0.3">
      <c r="F1048"/>
      <c r="G1048"/>
      <c r="H1048"/>
      <c r="I1048"/>
      <c r="J1048"/>
      <c r="K1048"/>
      <c r="L1048"/>
      <c r="M1048"/>
      <c r="N1048"/>
      <c r="O1048"/>
      <c r="P1048"/>
      <c r="Q1048"/>
    </row>
    <row r="1049" spans="6:17" x14ac:dyDescent="0.3">
      <c r="F1049"/>
      <c r="G1049"/>
      <c r="H1049"/>
      <c r="I1049"/>
      <c r="J1049"/>
      <c r="K1049"/>
      <c r="L1049"/>
      <c r="M1049"/>
      <c r="N1049"/>
      <c r="O1049"/>
      <c r="P1049"/>
      <c r="Q1049"/>
    </row>
    <row r="1050" spans="6:17" x14ac:dyDescent="0.3">
      <c r="F1050"/>
      <c r="G1050"/>
      <c r="H1050"/>
      <c r="I1050"/>
      <c r="J1050"/>
      <c r="K1050"/>
      <c r="L1050"/>
      <c r="M1050"/>
      <c r="N1050"/>
      <c r="O1050"/>
      <c r="P1050"/>
      <c r="Q1050"/>
    </row>
    <row r="1051" spans="6:17" x14ac:dyDescent="0.3">
      <c r="F1051"/>
      <c r="G1051"/>
      <c r="H1051"/>
      <c r="I1051"/>
      <c r="J1051"/>
      <c r="K1051"/>
      <c r="L1051"/>
      <c r="M1051"/>
      <c r="N1051"/>
      <c r="O1051"/>
      <c r="P1051"/>
      <c r="Q1051"/>
    </row>
    <row r="1052" spans="6:17" x14ac:dyDescent="0.3">
      <c r="F1052"/>
      <c r="G1052"/>
      <c r="H1052"/>
      <c r="I1052"/>
      <c r="J1052"/>
      <c r="K1052"/>
      <c r="L1052"/>
      <c r="M1052"/>
      <c r="N1052"/>
      <c r="O1052"/>
      <c r="P1052"/>
      <c r="Q1052"/>
    </row>
    <row r="1053" spans="6:17" x14ac:dyDescent="0.3">
      <c r="F1053"/>
      <c r="G1053"/>
      <c r="H1053"/>
      <c r="I1053"/>
      <c r="J1053"/>
      <c r="K1053"/>
      <c r="L1053"/>
      <c r="M1053"/>
      <c r="N1053"/>
      <c r="O1053"/>
      <c r="P1053"/>
      <c r="Q1053"/>
    </row>
    <row r="1054" spans="6:17" x14ac:dyDescent="0.3">
      <c r="F1054"/>
      <c r="G1054"/>
      <c r="H1054"/>
      <c r="I1054"/>
      <c r="J1054"/>
      <c r="K1054"/>
      <c r="L1054"/>
      <c r="M1054"/>
      <c r="N1054"/>
      <c r="O1054"/>
      <c r="P1054"/>
      <c r="Q1054"/>
    </row>
    <row r="1055" spans="6:17" x14ac:dyDescent="0.3">
      <c r="F1055"/>
      <c r="G1055"/>
      <c r="H1055"/>
      <c r="I1055"/>
      <c r="J1055"/>
      <c r="K1055"/>
      <c r="L1055"/>
      <c r="M1055"/>
      <c r="N1055"/>
      <c r="O1055"/>
      <c r="P1055"/>
      <c r="Q1055"/>
    </row>
    <row r="1056" spans="6:17" x14ac:dyDescent="0.3">
      <c r="F1056"/>
      <c r="G1056"/>
      <c r="H1056"/>
      <c r="I1056"/>
      <c r="J1056"/>
      <c r="K1056"/>
      <c r="L1056"/>
      <c r="M1056"/>
      <c r="N1056"/>
      <c r="O1056"/>
      <c r="P1056"/>
      <c r="Q1056"/>
    </row>
    <row r="1057" spans="6:17" x14ac:dyDescent="0.3">
      <c r="F1057"/>
      <c r="G1057"/>
      <c r="H1057"/>
      <c r="I1057"/>
      <c r="J1057"/>
      <c r="K1057"/>
      <c r="L1057"/>
      <c r="M1057"/>
      <c r="N1057"/>
      <c r="O1057"/>
      <c r="P1057"/>
      <c r="Q1057"/>
    </row>
    <row r="1058" spans="6:17" x14ac:dyDescent="0.3">
      <c r="F1058"/>
      <c r="G1058"/>
      <c r="H1058"/>
      <c r="I1058"/>
      <c r="J1058"/>
      <c r="K1058"/>
      <c r="L1058"/>
      <c r="M1058"/>
      <c r="N1058"/>
      <c r="O1058"/>
      <c r="P1058"/>
      <c r="Q1058"/>
    </row>
    <row r="1059" spans="6:17" x14ac:dyDescent="0.3">
      <c r="F1059"/>
      <c r="G1059"/>
      <c r="H1059"/>
      <c r="I1059"/>
      <c r="J1059"/>
      <c r="K1059"/>
      <c r="L1059"/>
      <c r="M1059"/>
      <c r="N1059"/>
      <c r="O1059"/>
      <c r="P1059"/>
      <c r="Q1059"/>
    </row>
    <row r="1060" spans="6:17" x14ac:dyDescent="0.3">
      <c r="F1060"/>
      <c r="G1060"/>
      <c r="H1060"/>
      <c r="I1060"/>
      <c r="J1060"/>
      <c r="K1060"/>
      <c r="L1060"/>
      <c r="M1060"/>
      <c r="N1060"/>
      <c r="O1060"/>
      <c r="P1060"/>
      <c r="Q1060"/>
    </row>
    <row r="1061" spans="6:17" x14ac:dyDescent="0.3">
      <c r="F1061"/>
      <c r="G1061"/>
      <c r="H1061"/>
      <c r="I1061"/>
      <c r="J1061"/>
      <c r="K1061"/>
      <c r="L1061"/>
      <c r="M1061"/>
      <c r="N1061"/>
      <c r="O1061"/>
      <c r="P1061"/>
      <c r="Q1061"/>
    </row>
    <row r="1062" spans="6:17" x14ac:dyDescent="0.3">
      <c r="F1062"/>
      <c r="G1062"/>
      <c r="H1062"/>
      <c r="I1062"/>
      <c r="J1062"/>
      <c r="K1062"/>
      <c r="L1062"/>
      <c r="M1062"/>
      <c r="N1062"/>
      <c r="O1062"/>
      <c r="P1062"/>
      <c r="Q1062"/>
    </row>
    <row r="1063" spans="6:17" x14ac:dyDescent="0.3">
      <c r="F1063"/>
      <c r="G1063"/>
      <c r="H1063"/>
      <c r="I1063"/>
      <c r="J1063"/>
      <c r="K1063"/>
      <c r="L1063"/>
      <c r="M1063"/>
      <c r="N1063"/>
      <c r="O1063"/>
      <c r="P1063"/>
      <c r="Q1063"/>
    </row>
    <row r="1064" spans="6:17" x14ac:dyDescent="0.3">
      <c r="F1064"/>
      <c r="G1064"/>
      <c r="H1064"/>
      <c r="I1064"/>
      <c r="J1064"/>
      <c r="K1064"/>
      <c r="L1064"/>
      <c r="M1064"/>
      <c r="N1064"/>
      <c r="O1064"/>
      <c r="P1064"/>
      <c r="Q1064"/>
    </row>
    <row r="1065" spans="6:17" x14ac:dyDescent="0.3">
      <c r="F1065"/>
      <c r="G1065"/>
      <c r="H1065"/>
      <c r="I1065"/>
      <c r="J1065"/>
      <c r="K1065"/>
      <c r="L1065"/>
      <c r="M1065"/>
      <c r="N1065"/>
      <c r="O1065"/>
      <c r="P1065"/>
      <c r="Q1065"/>
    </row>
    <row r="1066" spans="6:17" x14ac:dyDescent="0.3">
      <c r="F1066"/>
      <c r="G1066"/>
      <c r="H1066"/>
      <c r="I1066"/>
      <c r="J1066"/>
      <c r="K1066"/>
      <c r="L1066"/>
      <c r="M1066"/>
      <c r="N1066"/>
      <c r="O1066"/>
      <c r="P1066"/>
      <c r="Q1066"/>
    </row>
    <row r="1067" spans="6:17" x14ac:dyDescent="0.3">
      <c r="F1067"/>
      <c r="G1067"/>
      <c r="H1067"/>
      <c r="I1067"/>
      <c r="J1067"/>
      <c r="K1067"/>
      <c r="L1067"/>
      <c r="M1067"/>
      <c r="N1067"/>
      <c r="O1067"/>
      <c r="P1067"/>
      <c r="Q1067"/>
    </row>
    <row r="1068" spans="6:17" x14ac:dyDescent="0.3">
      <c r="F1068"/>
      <c r="G1068"/>
      <c r="H1068"/>
      <c r="I1068"/>
      <c r="J1068"/>
      <c r="K1068"/>
      <c r="L1068"/>
      <c r="M1068"/>
      <c r="N1068"/>
      <c r="O1068"/>
      <c r="P1068"/>
      <c r="Q1068"/>
    </row>
    <row r="1069" spans="6:17" x14ac:dyDescent="0.3">
      <c r="F1069"/>
      <c r="G1069"/>
      <c r="H1069"/>
      <c r="I1069"/>
      <c r="J1069"/>
      <c r="K1069"/>
      <c r="L1069"/>
      <c r="M1069"/>
      <c r="N1069"/>
      <c r="O1069"/>
      <c r="P1069"/>
      <c r="Q1069"/>
    </row>
    <row r="1070" spans="6:17" x14ac:dyDescent="0.3">
      <c r="F1070"/>
      <c r="G1070"/>
      <c r="H1070"/>
      <c r="I1070"/>
      <c r="J1070"/>
      <c r="K1070"/>
      <c r="L1070"/>
      <c r="M1070"/>
      <c r="N1070"/>
      <c r="O1070"/>
      <c r="P1070"/>
      <c r="Q1070"/>
    </row>
    <row r="1071" spans="6:17" x14ac:dyDescent="0.3">
      <c r="F1071"/>
      <c r="G1071"/>
      <c r="H1071"/>
      <c r="I1071"/>
      <c r="J1071"/>
      <c r="K1071"/>
      <c r="L1071"/>
      <c r="M1071"/>
      <c r="N1071"/>
      <c r="O1071"/>
      <c r="P1071"/>
      <c r="Q1071"/>
    </row>
    <row r="1072" spans="6:17" x14ac:dyDescent="0.3">
      <c r="F1072"/>
      <c r="G1072"/>
      <c r="H1072"/>
      <c r="I1072"/>
      <c r="J1072"/>
      <c r="K1072"/>
      <c r="L1072"/>
      <c r="M1072"/>
      <c r="N1072"/>
      <c r="O1072"/>
      <c r="P1072"/>
      <c r="Q1072"/>
    </row>
    <row r="1073" spans="6:17" x14ac:dyDescent="0.3">
      <c r="F1073"/>
      <c r="G1073"/>
      <c r="H1073"/>
      <c r="I1073"/>
      <c r="J1073"/>
      <c r="K1073"/>
      <c r="L1073"/>
      <c r="M1073"/>
      <c r="N1073"/>
      <c r="O1073"/>
      <c r="P1073"/>
      <c r="Q1073"/>
    </row>
    <row r="1074" spans="6:17" x14ac:dyDescent="0.3">
      <c r="F1074"/>
      <c r="G1074"/>
      <c r="H1074"/>
      <c r="I1074"/>
      <c r="J1074"/>
      <c r="K1074"/>
      <c r="L1074"/>
      <c r="M1074"/>
      <c r="N1074"/>
      <c r="O1074"/>
      <c r="P1074"/>
      <c r="Q1074"/>
    </row>
    <row r="1075" spans="6:17" x14ac:dyDescent="0.3">
      <c r="F1075"/>
      <c r="G1075"/>
      <c r="H1075"/>
      <c r="I1075"/>
      <c r="J1075"/>
      <c r="K1075"/>
      <c r="L1075"/>
      <c r="M1075"/>
      <c r="N1075"/>
      <c r="O1075"/>
      <c r="P1075"/>
      <c r="Q1075"/>
    </row>
    <row r="1076" spans="6:17" x14ac:dyDescent="0.3">
      <c r="F1076"/>
      <c r="G1076"/>
      <c r="H1076"/>
      <c r="I1076"/>
      <c r="J1076"/>
      <c r="K1076"/>
      <c r="L1076"/>
      <c r="M1076"/>
      <c r="N1076"/>
      <c r="O1076"/>
      <c r="P1076"/>
      <c r="Q1076"/>
    </row>
    <row r="1077" spans="6:17" x14ac:dyDescent="0.3">
      <c r="F1077"/>
      <c r="G1077"/>
      <c r="H1077"/>
      <c r="I1077"/>
      <c r="J1077"/>
      <c r="K1077"/>
      <c r="L1077"/>
      <c r="M1077"/>
      <c r="N1077"/>
      <c r="O1077"/>
      <c r="P1077"/>
      <c r="Q1077"/>
    </row>
    <row r="1078" spans="6:17" x14ac:dyDescent="0.3">
      <c r="F1078"/>
      <c r="G1078"/>
      <c r="H1078"/>
      <c r="I1078"/>
      <c r="J1078"/>
      <c r="K1078"/>
      <c r="L1078"/>
      <c r="M1078"/>
      <c r="N1078"/>
      <c r="O1078"/>
      <c r="P1078"/>
      <c r="Q1078"/>
    </row>
    <row r="1079" spans="6:17" x14ac:dyDescent="0.3">
      <c r="F1079"/>
      <c r="G1079"/>
      <c r="H1079"/>
      <c r="I1079"/>
      <c r="J1079"/>
      <c r="K1079"/>
      <c r="L1079"/>
      <c r="M1079"/>
      <c r="N1079"/>
      <c r="O1079"/>
      <c r="P1079"/>
      <c r="Q1079"/>
    </row>
    <row r="1080" spans="6:17" x14ac:dyDescent="0.3">
      <c r="F1080"/>
      <c r="G1080"/>
      <c r="H1080"/>
      <c r="I1080"/>
      <c r="J1080"/>
      <c r="K1080"/>
      <c r="L1080"/>
      <c r="M1080"/>
      <c r="N1080"/>
      <c r="O1080"/>
      <c r="P1080"/>
      <c r="Q1080"/>
    </row>
    <row r="1081" spans="6:17" x14ac:dyDescent="0.3">
      <c r="F1081"/>
      <c r="G1081"/>
      <c r="H1081"/>
      <c r="I1081"/>
      <c r="J1081"/>
      <c r="K1081"/>
      <c r="L1081"/>
      <c r="M1081"/>
      <c r="N1081"/>
      <c r="O1081"/>
      <c r="P1081"/>
      <c r="Q1081"/>
    </row>
    <row r="1082" spans="6:17" x14ac:dyDescent="0.3">
      <c r="F1082"/>
      <c r="G1082"/>
      <c r="H1082"/>
      <c r="I1082"/>
      <c r="J1082"/>
      <c r="K1082"/>
      <c r="L1082"/>
      <c r="M1082"/>
      <c r="N1082"/>
      <c r="O1082"/>
      <c r="P1082"/>
      <c r="Q1082"/>
    </row>
    <row r="1083" spans="6:17" x14ac:dyDescent="0.3">
      <c r="F1083"/>
      <c r="G1083"/>
      <c r="H1083"/>
      <c r="I1083"/>
      <c r="J1083"/>
      <c r="K1083"/>
      <c r="L1083"/>
      <c r="M1083"/>
      <c r="N1083"/>
      <c r="O1083"/>
      <c r="P1083"/>
      <c r="Q1083"/>
    </row>
    <row r="1084" spans="6:17" x14ac:dyDescent="0.3">
      <c r="F1084"/>
      <c r="G1084"/>
      <c r="H1084"/>
      <c r="I1084"/>
      <c r="J1084"/>
      <c r="K1084"/>
      <c r="L1084"/>
      <c r="M1084"/>
      <c r="N1084"/>
      <c r="O1084"/>
      <c r="P1084"/>
      <c r="Q1084"/>
    </row>
    <row r="1085" spans="6:17" x14ac:dyDescent="0.3">
      <c r="F1085"/>
      <c r="G1085"/>
      <c r="H1085"/>
      <c r="I1085"/>
      <c r="J1085"/>
      <c r="K1085"/>
      <c r="L1085"/>
      <c r="M1085"/>
      <c r="N1085"/>
      <c r="O1085"/>
      <c r="P1085"/>
      <c r="Q1085"/>
    </row>
    <row r="1086" spans="6:17" x14ac:dyDescent="0.3">
      <c r="F1086"/>
      <c r="G1086"/>
      <c r="H1086"/>
      <c r="I1086"/>
      <c r="J1086"/>
      <c r="K1086"/>
      <c r="L1086"/>
      <c r="M1086"/>
      <c r="N1086"/>
      <c r="O1086"/>
      <c r="P1086"/>
      <c r="Q1086"/>
    </row>
    <row r="1087" spans="6:17" x14ac:dyDescent="0.3">
      <c r="F1087"/>
      <c r="G1087"/>
      <c r="H1087"/>
      <c r="I1087"/>
      <c r="J1087"/>
      <c r="K1087"/>
      <c r="L1087"/>
      <c r="M1087"/>
      <c r="N1087"/>
      <c r="O1087"/>
      <c r="P1087"/>
      <c r="Q1087"/>
    </row>
    <row r="1088" spans="6:17" x14ac:dyDescent="0.3">
      <c r="F1088"/>
      <c r="G1088"/>
      <c r="H1088"/>
      <c r="I1088"/>
      <c r="J1088"/>
      <c r="K1088"/>
      <c r="L1088"/>
      <c r="M1088"/>
      <c r="N1088"/>
      <c r="O1088"/>
      <c r="P1088"/>
      <c r="Q1088"/>
    </row>
    <row r="1089" spans="6:17" x14ac:dyDescent="0.3">
      <c r="F1089"/>
      <c r="G1089"/>
      <c r="H1089"/>
      <c r="I1089"/>
      <c r="J1089"/>
      <c r="K1089"/>
      <c r="L1089"/>
      <c r="M1089"/>
      <c r="N1089"/>
      <c r="O1089"/>
      <c r="P1089"/>
      <c r="Q1089"/>
    </row>
    <row r="1090" spans="6:17" x14ac:dyDescent="0.3">
      <c r="F1090"/>
      <c r="G1090"/>
      <c r="H1090"/>
      <c r="I1090"/>
      <c r="J1090"/>
      <c r="K1090"/>
      <c r="L1090"/>
      <c r="M1090"/>
      <c r="N1090"/>
      <c r="O1090"/>
      <c r="P1090"/>
      <c r="Q1090"/>
    </row>
    <row r="1091" spans="6:17" x14ac:dyDescent="0.3">
      <c r="F1091"/>
      <c r="G1091"/>
      <c r="H1091"/>
      <c r="I1091"/>
      <c r="J1091"/>
      <c r="K1091"/>
      <c r="L1091"/>
      <c r="M1091"/>
      <c r="N1091"/>
      <c r="O1091"/>
      <c r="P1091"/>
      <c r="Q1091"/>
    </row>
    <row r="1092" spans="6:17" x14ac:dyDescent="0.3">
      <c r="F1092"/>
      <c r="G1092"/>
      <c r="H1092"/>
      <c r="I1092"/>
      <c r="J1092"/>
      <c r="K1092"/>
      <c r="L1092"/>
      <c r="M1092"/>
      <c r="N1092"/>
      <c r="O1092"/>
      <c r="P1092"/>
      <c r="Q1092"/>
    </row>
    <row r="1093" spans="6:17" x14ac:dyDescent="0.3">
      <c r="F1093"/>
      <c r="G1093"/>
      <c r="H1093"/>
      <c r="I1093"/>
      <c r="J1093"/>
      <c r="K1093"/>
      <c r="L1093"/>
      <c r="M1093"/>
      <c r="N1093"/>
      <c r="O1093"/>
      <c r="P1093"/>
      <c r="Q1093"/>
    </row>
    <row r="1094" spans="6:17" x14ac:dyDescent="0.3">
      <c r="F1094"/>
      <c r="G1094"/>
      <c r="H1094"/>
      <c r="I1094"/>
      <c r="J1094"/>
      <c r="K1094"/>
      <c r="L1094"/>
      <c r="M1094"/>
      <c r="N1094"/>
      <c r="O1094"/>
      <c r="P1094"/>
      <c r="Q1094"/>
    </row>
    <row r="1095" spans="6:17" x14ac:dyDescent="0.3">
      <c r="F1095"/>
      <c r="G1095"/>
      <c r="H1095"/>
      <c r="I1095"/>
      <c r="J1095"/>
      <c r="K1095"/>
      <c r="L1095"/>
      <c r="M1095"/>
      <c r="N1095"/>
      <c r="O1095"/>
      <c r="P1095"/>
      <c r="Q1095"/>
    </row>
    <row r="1096" spans="6:17" x14ac:dyDescent="0.3">
      <c r="F1096"/>
      <c r="G1096"/>
      <c r="H1096"/>
      <c r="I1096"/>
      <c r="J1096"/>
      <c r="K1096"/>
      <c r="L1096"/>
      <c r="M1096"/>
      <c r="N1096"/>
      <c r="O1096"/>
      <c r="P1096"/>
      <c r="Q1096"/>
    </row>
    <row r="1097" spans="6:17" x14ac:dyDescent="0.3">
      <c r="F1097"/>
      <c r="G1097"/>
      <c r="H1097"/>
      <c r="I1097"/>
      <c r="J1097"/>
      <c r="K1097"/>
      <c r="L1097"/>
      <c r="M1097"/>
      <c r="N1097"/>
      <c r="O1097"/>
      <c r="P1097"/>
      <c r="Q1097"/>
    </row>
    <row r="1098" spans="6:17" x14ac:dyDescent="0.3">
      <c r="F1098"/>
      <c r="G1098"/>
      <c r="H1098"/>
      <c r="I1098"/>
      <c r="J1098"/>
      <c r="K1098"/>
      <c r="L1098"/>
      <c r="M1098"/>
      <c r="N1098"/>
      <c r="O1098"/>
      <c r="P1098"/>
      <c r="Q1098"/>
    </row>
    <row r="1099" spans="6:17" x14ac:dyDescent="0.3">
      <c r="F1099"/>
      <c r="G1099"/>
      <c r="H1099"/>
      <c r="I1099"/>
      <c r="J1099"/>
      <c r="K1099"/>
      <c r="L1099"/>
      <c r="M1099"/>
      <c r="N1099"/>
      <c r="O1099"/>
      <c r="P1099"/>
      <c r="Q1099"/>
    </row>
    <row r="1100" spans="6:17" x14ac:dyDescent="0.3">
      <c r="F1100"/>
      <c r="G1100"/>
      <c r="H1100"/>
      <c r="I1100"/>
      <c r="J1100"/>
      <c r="K1100"/>
      <c r="L1100"/>
      <c r="M1100"/>
      <c r="N1100"/>
      <c r="O1100"/>
      <c r="P1100"/>
      <c r="Q1100"/>
    </row>
    <row r="1101" spans="6:17" x14ac:dyDescent="0.3">
      <c r="F1101"/>
      <c r="G1101"/>
      <c r="H1101"/>
      <c r="I1101"/>
      <c r="J1101"/>
      <c r="K1101"/>
      <c r="L1101"/>
      <c r="M1101"/>
      <c r="N1101"/>
      <c r="O1101"/>
      <c r="P1101"/>
      <c r="Q1101"/>
    </row>
    <row r="1102" spans="6:17" x14ac:dyDescent="0.3">
      <c r="F1102"/>
      <c r="G1102"/>
      <c r="H1102"/>
      <c r="I1102"/>
      <c r="J1102"/>
      <c r="K1102"/>
      <c r="L1102"/>
      <c r="M1102"/>
      <c r="N1102"/>
      <c r="O1102"/>
      <c r="P1102"/>
      <c r="Q1102"/>
    </row>
    <row r="1103" spans="6:17" x14ac:dyDescent="0.3">
      <c r="F1103"/>
      <c r="G1103"/>
      <c r="H1103"/>
      <c r="I1103"/>
      <c r="J1103"/>
      <c r="K1103"/>
      <c r="L1103"/>
      <c r="M1103"/>
      <c r="N1103"/>
      <c r="O1103"/>
      <c r="P1103"/>
      <c r="Q1103"/>
    </row>
    <row r="1104" spans="6:17" x14ac:dyDescent="0.3">
      <c r="F1104"/>
      <c r="G1104"/>
      <c r="H1104"/>
      <c r="I1104"/>
      <c r="J1104"/>
      <c r="K1104"/>
      <c r="L1104"/>
      <c r="M1104"/>
      <c r="N1104"/>
      <c r="O1104"/>
      <c r="P1104"/>
      <c r="Q1104"/>
    </row>
    <row r="1105" spans="6:17" x14ac:dyDescent="0.3">
      <c r="F1105"/>
      <c r="G1105"/>
      <c r="H1105"/>
      <c r="I1105"/>
      <c r="J1105"/>
      <c r="K1105"/>
      <c r="L1105"/>
      <c r="M1105"/>
      <c r="N1105"/>
      <c r="O1105"/>
      <c r="P1105"/>
      <c r="Q1105"/>
    </row>
    <row r="1106" spans="6:17" x14ac:dyDescent="0.3">
      <c r="F1106"/>
      <c r="G1106"/>
      <c r="H1106"/>
      <c r="I1106"/>
      <c r="J1106"/>
      <c r="K1106"/>
      <c r="L1106"/>
      <c r="M1106"/>
      <c r="N1106"/>
      <c r="O1106"/>
      <c r="P1106"/>
      <c r="Q1106"/>
    </row>
    <row r="1107" spans="6:17" x14ac:dyDescent="0.3">
      <c r="F1107"/>
      <c r="G1107"/>
      <c r="H1107"/>
      <c r="I1107"/>
      <c r="J1107"/>
      <c r="K1107"/>
      <c r="L1107"/>
      <c r="M1107"/>
      <c r="N1107"/>
      <c r="O1107"/>
      <c r="P1107"/>
      <c r="Q1107"/>
    </row>
    <row r="1108" spans="6:17" x14ac:dyDescent="0.3">
      <c r="F1108"/>
      <c r="G1108"/>
      <c r="H1108"/>
      <c r="I1108"/>
      <c r="J1108"/>
      <c r="K1108"/>
      <c r="L1108"/>
      <c r="M1108"/>
      <c r="N1108"/>
      <c r="O1108"/>
      <c r="P1108"/>
      <c r="Q1108"/>
    </row>
    <row r="1109" spans="6:17" x14ac:dyDescent="0.3">
      <c r="F1109"/>
      <c r="G1109"/>
      <c r="H1109"/>
      <c r="I1109"/>
      <c r="J1109"/>
      <c r="K1109"/>
      <c r="L1109"/>
      <c r="M1109"/>
      <c r="N1109"/>
      <c r="O1109"/>
      <c r="P1109"/>
      <c r="Q1109"/>
    </row>
    <row r="1110" spans="6:17" x14ac:dyDescent="0.3">
      <c r="F1110"/>
      <c r="G1110"/>
      <c r="H1110"/>
      <c r="I1110"/>
      <c r="J1110"/>
      <c r="K1110"/>
      <c r="L1110"/>
      <c r="M1110"/>
      <c r="N1110"/>
      <c r="O1110"/>
      <c r="P1110"/>
      <c r="Q1110"/>
    </row>
    <row r="1111" spans="6:17" x14ac:dyDescent="0.3">
      <c r="F1111"/>
      <c r="G1111"/>
      <c r="H1111"/>
      <c r="I1111"/>
      <c r="J1111"/>
      <c r="K1111"/>
      <c r="L1111"/>
      <c r="M1111"/>
      <c r="N1111"/>
      <c r="O1111"/>
      <c r="P1111"/>
      <c r="Q1111"/>
    </row>
    <row r="1112" spans="6:17" x14ac:dyDescent="0.3">
      <c r="F1112"/>
      <c r="G1112"/>
      <c r="H1112"/>
      <c r="I1112"/>
      <c r="J1112"/>
      <c r="K1112"/>
      <c r="L1112"/>
      <c r="M1112"/>
      <c r="N1112"/>
      <c r="O1112"/>
      <c r="P1112"/>
      <c r="Q1112"/>
    </row>
    <row r="1113" spans="6:17" x14ac:dyDescent="0.3">
      <c r="F1113"/>
      <c r="G1113"/>
      <c r="H1113"/>
      <c r="I1113"/>
      <c r="J1113"/>
      <c r="K1113"/>
      <c r="L1113"/>
      <c r="M1113"/>
      <c r="N1113"/>
      <c r="O1113"/>
      <c r="P1113"/>
      <c r="Q1113"/>
    </row>
    <row r="1114" spans="6:17" x14ac:dyDescent="0.3">
      <c r="F1114"/>
      <c r="G1114"/>
      <c r="H1114"/>
      <c r="I1114"/>
      <c r="J1114"/>
      <c r="K1114"/>
      <c r="L1114"/>
      <c r="M1114"/>
      <c r="N1114"/>
      <c r="O1114"/>
      <c r="P1114"/>
      <c r="Q1114"/>
    </row>
    <row r="1115" spans="6:17" x14ac:dyDescent="0.3">
      <c r="F1115"/>
      <c r="G1115"/>
      <c r="H1115"/>
      <c r="I1115"/>
      <c r="J1115"/>
      <c r="K1115"/>
      <c r="L1115"/>
      <c r="M1115"/>
      <c r="N1115"/>
      <c r="O1115"/>
      <c r="P1115"/>
      <c r="Q1115"/>
    </row>
    <row r="1116" spans="6:17" x14ac:dyDescent="0.3">
      <c r="F1116"/>
      <c r="G1116"/>
      <c r="H1116"/>
      <c r="I1116"/>
      <c r="J1116"/>
      <c r="K1116"/>
      <c r="L1116"/>
      <c r="M1116"/>
      <c r="N1116"/>
      <c r="O1116"/>
      <c r="P1116"/>
      <c r="Q1116"/>
    </row>
    <row r="1117" spans="6:17" x14ac:dyDescent="0.3">
      <c r="F1117"/>
      <c r="G1117"/>
      <c r="H1117"/>
      <c r="I1117"/>
      <c r="J1117"/>
      <c r="K1117"/>
      <c r="L1117"/>
      <c r="M1117"/>
      <c r="N1117"/>
      <c r="O1117"/>
      <c r="P1117"/>
      <c r="Q1117"/>
    </row>
    <row r="1118" spans="6:17" x14ac:dyDescent="0.3">
      <c r="F1118"/>
      <c r="G1118"/>
      <c r="H1118"/>
      <c r="I1118"/>
      <c r="J1118"/>
      <c r="K1118"/>
      <c r="L1118"/>
      <c r="M1118"/>
      <c r="N1118"/>
      <c r="O1118"/>
      <c r="P1118"/>
      <c r="Q1118"/>
    </row>
    <row r="1119" spans="6:17" x14ac:dyDescent="0.3">
      <c r="F1119"/>
      <c r="G1119"/>
      <c r="H1119"/>
      <c r="I1119"/>
      <c r="J1119"/>
      <c r="K1119"/>
      <c r="L1119"/>
      <c r="M1119"/>
      <c r="N1119"/>
      <c r="O1119"/>
      <c r="P1119"/>
      <c r="Q1119"/>
    </row>
    <row r="1120" spans="6:17" x14ac:dyDescent="0.3">
      <c r="F1120"/>
      <c r="G1120"/>
      <c r="H1120"/>
      <c r="I1120"/>
      <c r="J1120"/>
      <c r="K1120"/>
      <c r="L1120"/>
      <c r="M1120"/>
      <c r="N1120"/>
      <c r="O1120"/>
      <c r="P1120"/>
      <c r="Q1120"/>
    </row>
    <row r="1121" spans="6:17" x14ac:dyDescent="0.3">
      <c r="F1121"/>
      <c r="G1121"/>
      <c r="H1121"/>
      <c r="I1121"/>
      <c r="J1121"/>
      <c r="K1121"/>
      <c r="L1121"/>
      <c r="M1121"/>
      <c r="N1121"/>
      <c r="O1121"/>
      <c r="P1121"/>
      <c r="Q1121"/>
    </row>
    <row r="1122" spans="6:17" x14ac:dyDescent="0.3">
      <c r="F1122"/>
      <c r="G1122"/>
      <c r="H1122"/>
      <c r="I1122"/>
      <c r="J1122"/>
      <c r="K1122"/>
      <c r="L1122"/>
      <c r="M1122"/>
      <c r="N1122"/>
      <c r="O1122"/>
      <c r="P1122"/>
      <c r="Q1122"/>
    </row>
    <row r="1123" spans="6:17" x14ac:dyDescent="0.3">
      <c r="F1123"/>
      <c r="G1123"/>
      <c r="H1123"/>
      <c r="I1123"/>
      <c r="J1123"/>
      <c r="K1123"/>
      <c r="L1123"/>
      <c r="M1123"/>
      <c r="N1123"/>
      <c r="O1123"/>
      <c r="P1123"/>
      <c r="Q1123"/>
    </row>
    <row r="1124" spans="6:17" x14ac:dyDescent="0.3">
      <c r="F1124"/>
      <c r="G1124"/>
      <c r="H1124"/>
      <c r="I1124"/>
      <c r="J1124"/>
      <c r="K1124"/>
      <c r="L1124"/>
      <c r="M1124"/>
      <c r="N1124"/>
      <c r="O1124"/>
      <c r="P1124"/>
      <c r="Q1124"/>
    </row>
    <row r="1125" spans="6:17" x14ac:dyDescent="0.3">
      <c r="F1125"/>
      <c r="G1125"/>
      <c r="H1125"/>
      <c r="I1125"/>
      <c r="J1125"/>
      <c r="K1125"/>
      <c r="L1125"/>
      <c r="M1125"/>
      <c r="N1125"/>
      <c r="O1125"/>
      <c r="P1125"/>
      <c r="Q1125"/>
    </row>
    <row r="1126" spans="6:17" x14ac:dyDescent="0.3">
      <c r="F1126"/>
      <c r="G1126"/>
      <c r="H1126"/>
      <c r="I1126"/>
      <c r="J1126"/>
      <c r="K1126"/>
      <c r="L1126"/>
      <c r="M1126"/>
      <c r="N1126"/>
      <c r="O1126"/>
      <c r="P1126"/>
      <c r="Q1126"/>
    </row>
    <row r="1127" spans="6:17" x14ac:dyDescent="0.3">
      <c r="F1127"/>
      <c r="G1127"/>
      <c r="H1127"/>
      <c r="I1127"/>
      <c r="J1127"/>
      <c r="K1127"/>
      <c r="L1127"/>
      <c r="M1127"/>
      <c r="N1127"/>
      <c r="O1127"/>
      <c r="P1127"/>
      <c r="Q1127"/>
    </row>
    <row r="1128" spans="6:17" x14ac:dyDescent="0.3">
      <c r="F1128"/>
      <c r="G1128"/>
      <c r="H1128"/>
      <c r="I1128"/>
      <c r="J1128"/>
      <c r="K1128"/>
      <c r="L1128"/>
      <c r="M1128"/>
      <c r="N1128"/>
      <c r="O1128"/>
      <c r="P1128"/>
      <c r="Q1128"/>
    </row>
    <row r="1129" spans="6:17" x14ac:dyDescent="0.3">
      <c r="F1129"/>
      <c r="G1129"/>
      <c r="H1129"/>
      <c r="I1129"/>
      <c r="J1129"/>
      <c r="K1129"/>
      <c r="L1129"/>
      <c r="M1129"/>
      <c r="N1129"/>
      <c r="O1129"/>
      <c r="P1129"/>
      <c r="Q1129"/>
    </row>
    <row r="1130" spans="6:17" x14ac:dyDescent="0.3">
      <c r="F1130"/>
      <c r="G1130"/>
      <c r="H1130"/>
      <c r="I1130"/>
      <c r="J1130"/>
      <c r="K1130"/>
      <c r="L1130"/>
      <c r="M1130"/>
      <c r="N1130"/>
      <c r="O1130"/>
      <c r="P1130"/>
      <c r="Q1130"/>
    </row>
    <row r="1131" spans="6:17" x14ac:dyDescent="0.3">
      <c r="F1131"/>
      <c r="G1131"/>
      <c r="H1131"/>
      <c r="I1131"/>
      <c r="J1131"/>
      <c r="K1131"/>
      <c r="L1131"/>
      <c r="M1131"/>
      <c r="N1131"/>
      <c r="O1131"/>
      <c r="P1131"/>
      <c r="Q1131"/>
    </row>
    <row r="1132" spans="6:17" x14ac:dyDescent="0.3">
      <c r="F1132"/>
      <c r="G1132"/>
      <c r="H1132"/>
      <c r="I1132"/>
      <c r="J1132"/>
      <c r="K1132"/>
      <c r="L1132"/>
      <c r="M1132"/>
      <c r="N1132"/>
      <c r="O1132"/>
      <c r="P1132"/>
      <c r="Q1132"/>
    </row>
    <row r="1133" spans="6:17" x14ac:dyDescent="0.3">
      <c r="F1133"/>
      <c r="G1133"/>
      <c r="H1133"/>
      <c r="I1133"/>
      <c r="J1133"/>
      <c r="K1133"/>
      <c r="L1133"/>
      <c r="M1133"/>
      <c r="N1133"/>
      <c r="O1133"/>
      <c r="P1133"/>
      <c r="Q1133"/>
    </row>
    <row r="1134" spans="6:17" x14ac:dyDescent="0.3">
      <c r="F1134"/>
      <c r="G1134"/>
      <c r="H1134"/>
      <c r="I1134"/>
      <c r="J1134"/>
      <c r="K1134"/>
      <c r="L1134"/>
      <c r="M1134"/>
      <c r="N1134"/>
      <c r="O1134"/>
      <c r="P1134"/>
      <c r="Q1134"/>
    </row>
    <row r="1135" spans="6:17" x14ac:dyDescent="0.3">
      <c r="F1135"/>
      <c r="G1135"/>
      <c r="H1135"/>
      <c r="I1135"/>
      <c r="J1135"/>
      <c r="K1135"/>
      <c r="L1135"/>
      <c r="M1135"/>
      <c r="N1135"/>
      <c r="O1135"/>
      <c r="P1135"/>
      <c r="Q1135"/>
    </row>
    <row r="1136" spans="6:17" x14ac:dyDescent="0.3">
      <c r="F1136"/>
      <c r="G1136"/>
      <c r="H1136"/>
      <c r="I1136"/>
      <c r="J1136"/>
      <c r="K1136"/>
      <c r="L1136"/>
      <c r="M1136"/>
      <c r="N1136"/>
      <c r="O1136"/>
      <c r="P1136"/>
      <c r="Q1136"/>
    </row>
    <row r="1137" spans="6:17" x14ac:dyDescent="0.3">
      <c r="F1137"/>
      <c r="G1137"/>
      <c r="H1137"/>
      <c r="I1137"/>
      <c r="J1137"/>
      <c r="K1137"/>
      <c r="L1137"/>
      <c r="M1137"/>
      <c r="N1137"/>
      <c r="O1137"/>
      <c r="P1137"/>
      <c r="Q1137"/>
    </row>
    <row r="1138" spans="6:17" x14ac:dyDescent="0.3">
      <c r="F1138"/>
      <c r="G1138"/>
      <c r="H1138"/>
      <c r="I1138"/>
      <c r="J1138"/>
      <c r="K1138"/>
      <c r="L1138"/>
      <c r="M1138"/>
      <c r="N1138"/>
      <c r="O1138"/>
      <c r="P1138"/>
      <c r="Q1138"/>
    </row>
    <row r="1139" spans="6:17" x14ac:dyDescent="0.3">
      <c r="F1139"/>
      <c r="G1139"/>
      <c r="H1139"/>
      <c r="I1139"/>
      <c r="J1139"/>
      <c r="K1139"/>
      <c r="L1139"/>
      <c r="M1139"/>
      <c r="N1139"/>
      <c r="O1139"/>
      <c r="P1139"/>
      <c r="Q1139"/>
    </row>
    <row r="1140" spans="6:17" x14ac:dyDescent="0.3">
      <c r="F1140"/>
      <c r="G1140"/>
      <c r="H1140"/>
      <c r="I1140"/>
      <c r="J1140"/>
      <c r="K1140"/>
      <c r="L1140"/>
      <c r="M1140"/>
      <c r="N1140"/>
      <c r="O1140"/>
      <c r="P1140"/>
      <c r="Q1140"/>
    </row>
    <row r="1141" spans="6:17" x14ac:dyDescent="0.3">
      <c r="F1141"/>
      <c r="G1141"/>
      <c r="H1141"/>
      <c r="I1141"/>
      <c r="J1141"/>
      <c r="K1141"/>
      <c r="L1141"/>
      <c r="M1141"/>
      <c r="N1141"/>
      <c r="O1141"/>
      <c r="P1141"/>
      <c r="Q1141"/>
    </row>
    <row r="1142" spans="6:17" x14ac:dyDescent="0.3">
      <c r="F1142"/>
      <c r="G1142"/>
      <c r="H1142"/>
      <c r="I1142"/>
      <c r="J1142"/>
      <c r="K1142"/>
      <c r="L1142"/>
      <c r="M1142"/>
      <c r="N1142"/>
      <c r="O1142"/>
      <c r="P1142"/>
      <c r="Q1142"/>
    </row>
    <row r="1143" spans="6:17" x14ac:dyDescent="0.3">
      <c r="F1143"/>
      <c r="G1143"/>
      <c r="H1143"/>
      <c r="I1143"/>
      <c r="J1143"/>
      <c r="K1143"/>
      <c r="L1143"/>
      <c r="M1143"/>
      <c r="N1143"/>
      <c r="O1143"/>
      <c r="P1143"/>
      <c r="Q1143"/>
    </row>
    <row r="1144" spans="6:17" x14ac:dyDescent="0.3">
      <c r="F1144"/>
      <c r="G1144"/>
      <c r="H1144"/>
      <c r="I1144"/>
      <c r="J1144"/>
      <c r="K1144"/>
      <c r="L1144"/>
      <c r="M1144"/>
      <c r="N1144"/>
      <c r="O1144"/>
      <c r="P1144"/>
      <c r="Q1144"/>
    </row>
    <row r="1145" spans="6:17" x14ac:dyDescent="0.3">
      <c r="F1145"/>
      <c r="G1145"/>
      <c r="H1145"/>
      <c r="I1145"/>
      <c r="J1145"/>
      <c r="K1145"/>
      <c r="L1145"/>
      <c r="M1145"/>
      <c r="N1145"/>
      <c r="O1145"/>
      <c r="P1145"/>
      <c r="Q1145"/>
    </row>
    <row r="1146" spans="6:17" x14ac:dyDescent="0.3">
      <c r="F1146"/>
      <c r="G1146"/>
      <c r="H1146"/>
      <c r="I1146"/>
      <c r="J1146"/>
      <c r="K1146"/>
      <c r="L1146"/>
      <c r="M1146"/>
      <c r="N1146"/>
      <c r="O1146"/>
      <c r="P1146"/>
      <c r="Q1146"/>
    </row>
    <row r="1147" spans="6:17" x14ac:dyDescent="0.3">
      <c r="F1147"/>
      <c r="G1147"/>
      <c r="H1147"/>
      <c r="I1147"/>
      <c r="J1147"/>
      <c r="K1147"/>
      <c r="L1147"/>
      <c r="M1147"/>
      <c r="N1147"/>
      <c r="O1147"/>
      <c r="P1147"/>
      <c r="Q1147"/>
    </row>
    <row r="1148" spans="6:17" x14ac:dyDescent="0.3">
      <c r="F1148"/>
      <c r="G1148"/>
      <c r="H1148"/>
      <c r="I1148"/>
      <c r="J1148"/>
      <c r="K1148"/>
      <c r="L1148"/>
      <c r="M1148"/>
      <c r="N1148"/>
      <c r="O1148"/>
      <c r="P1148"/>
      <c r="Q1148"/>
    </row>
    <row r="1149" spans="6:17" x14ac:dyDescent="0.3">
      <c r="F1149"/>
      <c r="G1149"/>
      <c r="H1149"/>
      <c r="I1149"/>
      <c r="J1149"/>
      <c r="K1149"/>
      <c r="L1149"/>
      <c r="M1149"/>
      <c r="N1149"/>
      <c r="O1149"/>
      <c r="P1149"/>
      <c r="Q1149"/>
    </row>
    <row r="1150" spans="6:17" x14ac:dyDescent="0.3">
      <c r="F1150"/>
      <c r="G1150"/>
      <c r="H1150"/>
      <c r="I1150"/>
      <c r="J1150"/>
      <c r="K1150"/>
      <c r="L1150"/>
      <c r="M1150"/>
      <c r="N1150"/>
      <c r="O1150"/>
      <c r="P1150"/>
      <c r="Q1150"/>
    </row>
    <row r="1151" spans="6:17" x14ac:dyDescent="0.3">
      <c r="F1151"/>
      <c r="G1151"/>
      <c r="H1151"/>
      <c r="I1151"/>
      <c r="J1151"/>
      <c r="K1151"/>
      <c r="L1151"/>
      <c r="M1151"/>
      <c r="N1151"/>
      <c r="O1151"/>
      <c r="P1151"/>
      <c r="Q1151"/>
    </row>
    <row r="1152" spans="6:17" x14ac:dyDescent="0.3">
      <c r="F1152"/>
      <c r="G1152"/>
      <c r="H1152"/>
      <c r="I1152"/>
      <c r="J1152"/>
      <c r="K1152"/>
      <c r="L1152"/>
      <c r="M1152"/>
      <c r="N1152"/>
      <c r="O1152"/>
      <c r="P1152"/>
      <c r="Q1152"/>
    </row>
    <row r="1153" spans="6:17" x14ac:dyDescent="0.3">
      <c r="F1153"/>
      <c r="G1153"/>
      <c r="H1153"/>
      <c r="I1153"/>
      <c r="J1153"/>
      <c r="K1153"/>
      <c r="L1153"/>
      <c r="M1153"/>
      <c r="N1153"/>
      <c r="O1153"/>
      <c r="P1153"/>
      <c r="Q1153"/>
    </row>
    <row r="1154" spans="6:17" x14ac:dyDescent="0.3">
      <c r="F1154"/>
      <c r="G1154"/>
      <c r="H1154"/>
      <c r="I1154"/>
      <c r="J1154"/>
      <c r="K1154"/>
      <c r="L1154"/>
      <c r="M1154"/>
      <c r="N1154"/>
      <c r="O1154"/>
      <c r="P1154"/>
      <c r="Q1154"/>
    </row>
    <row r="1155" spans="6:17" x14ac:dyDescent="0.3">
      <c r="F1155"/>
      <c r="G1155"/>
      <c r="H1155"/>
      <c r="I1155"/>
      <c r="J1155"/>
      <c r="K1155"/>
      <c r="L1155"/>
      <c r="M1155"/>
      <c r="N1155"/>
      <c r="O1155"/>
      <c r="P1155"/>
      <c r="Q1155"/>
    </row>
    <row r="1156" spans="6:17" x14ac:dyDescent="0.3">
      <c r="F1156"/>
      <c r="G1156"/>
      <c r="H1156"/>
      <c r="I1156"/>
      <c r="J1156"/>
      <c r="K1156"/>
      <c r="L1156"/>
      <c r="M1156"/>
      <c r="N1156"/>
      <c r="O1156"/>
      <c r="P1156"/>
      <c r="Q1156"/>
    </row>
    <row r="1157" spans="6:17" x14ac:dyDescent="0.3">
      <c r="F1157"/>
      <c r="G1157"/>
      <c r="H1157"/>
      <c r="I1157"/>
      <c r="J1157"/>
      <c r="K1157"/>
      <c r="L1157"/>
      <c r="M1157"/>
      <c r="N1157"/>
      <c r="O1157"/>
      <c r="P1157"/>
      <c r="Q1157"/>
    </row>
    <row r="1158" spans="6:17" x14ac:dyDescent="0.3">
      <c r="F1158"/>
      <c r="G1158"/>
      <c r="H1158"/>
      <c r="I1158"/>
      <c r="J1158"/>
      <c r="K1158"/>
      <c r="L1158"/>
      <c r="M1158"/>
      <c r="N1158"/>
      <c r="O1158"/>
      <c r="P1158"/>
      <c r="Q1158"/>
    </row>
    <row r="1159" spans="6:17" x14ac:dyDescent="0.3">
      <c r="F1159"/>
      <c r="G1159"/>
      <c r="H1159"/>
      <c r="I1159"/>
      <c r="J1159"/>
      <c r="K1159"/>
      <c r="L1159"/>
      <c r="M1159"/>
      <c r="N1159"/>
      <c r="O1159"/>
      <c r="P1159"/>
      <c r="Q1159"/>
    </row>
    <row r="1160" spans="6:17" x14ac:dyDescent="0.3">
      <c r="F1160"/>
      <c r="G1160"/>
      <c r="H1160"/>
      <c r="I1160"/>
      <c r="J1160"/>
      <c r="K1160"/>
      <c r="L1160"/>
      <c r="M1160"/>
      <c r="N1160"/>
      <c r="O1160"/>
      <c r="P1160"/>
      <c r="Q1160"/>
    </row>
    <row r="1161" spans="6:17" x14ac:dyDescent="0.3">
      <c r="F1161"/>
      <c r="G1161"/>
      <c r="H1161"/>
      <c r="I1161"/>
      <c r="J1161"/>
      <c r="K1161"/>
      <c r="L1161"/>
      <c r="M1161"/>
      <c r="N1161"/>
      <c r="O1161"/>
      <c r="P1161"/>
      <c r="Q1161"/>
    </row>
    <row r="1162" spans="6:17" x14ac:dyDescent="0.3">
      <c r="F1162"/>
      <c r="G1162"/>
      <c r="H1162"/>
      <c r="I1162"/>
      <c r="J1162"/>
      <c r="K1162"/>
      <c r="L1162"/>
      <c r="M1162"/>
      <c r="N1162"/>
      <c r="O1162"/>
      <c r="P1162"/>
      <c r="Q1162"/>
    </row>
    <row r="1163" spans="6:17" x14ac:dyDescent="0.3">
      <c r="F1163"/>
      <c r="G1163"/>
      <c r="H1163"/>
      <c r="I1163"/>
      <c r="J1163"/>
      <c r="K1163"/>
      <c r="L1163"/>
      <c r="M1163"/>
      <c r="N1163"/>
      <c r="O1163"/>
      <c r="P1163"/>
      <c r="Q1163"/>
    </row>
    <row r="1164" spans="6:17" x14ac:dyDescent="0.3">
      <c r="F1164"/>
      <c r="G1164"/>
      <c r="H1164"/>
      <c r="I1164"/>
      <c r="J1164"/>
      <c r="K1164"/>
      <c r="L1164"/>
      <c r="M1164"/>
      <c r="N1164"/>
      <c r="O1164"/>
      <c r="P1164"/>
      <c r="Q1164"/>
    </row>
    <row r="1165" spans="6:17" x14ac:dyDescent="0.3">
      <c r="F1165"/>
      <c r="G1165"/>
      <c r="H1165"/>
      <c r="I1165"/>
      <c r="J1165"/>
      <c r="K1165"/>
      <c r="L1165"/>
      <c r="M1165"/>
      <c r="N1165"/>
      <c r="O1165"/>
      <c r="P1165"/>
      <c r="Q1165"/>
    </row>
    <row r="1166" spans="6:17" x14ac:dyDescent="0.3">
      <c r="F1166"/>
      <c r="G1166"/>
      <c r="H1166"/>
      <c r="I1166"/>
      <c r="J1166"/>
      <c r="K1166"/>
      <c r="L1166"/>
      <c r="M1166"/>
      <c r="N1166"/>
      <c r="O1166"/>
      <c r="P1166"/>
      <c r="Q1166"/>
    </row>
    <row r="1167" spans="6:17" x14ac:dyDescent="0.3">
      <c r="F1167"/>
      <c r="G1167"/>
      <c r="H1167"/>
      <c r="I1167"/>
      <c r="J1167"/>
      <c r="K1167"/>
      <c r="L1167"/>
      <c r="M1167"/>
      <c r="N1167"/>
      <c r="O1167"/>
      <c r="P1167"/>
      <c r="Q1167"/>
    </row>
    <row r="1168" spans="6:17" x14ac:dyDescent="0.3">
      <c r="F1168"/>
      <c r="G1168"/>
      <c r="H1168"/>
      <c r="I1168"/>
      <c r="J1168"/>
      <c r="K1168"/>
      <c r="L1168"/>
      <c r="M1168"/>
      <c r="N1168"/>
      <c r="O1168"/>
      <c r="P1168"/>
      <c r="Q1168"/>
    </row>
    <row r="1169" spans="6:17" x14ac:dyDescent="0.3">
      <c r="F1169"/>
      <c r="G1169"/>
      <c r="H1169"/>
      <c r="I1169"/>
      <c r="J1169"/>
      <c r="K1169"/>
      <c r="L1169"/>
      <c r="M1169"/>
      <c r="N1169"/>
      <c r="O1169"/>
      <c r="P1169"/>
      <c r="Q1169"/>
    </row>
    <row r="1170" spans="6:17" x14ac:dyDescent="0.3">
      <c r="F1170"/>
      <c r="G1170"/>
      <c r="H1170"/>
      <c r="I1170"/>
      <c r="J1170"/>
      <c r="K1170"/>
      <c r="L1170"/>
      <c r="M1170"/>
      <c r="N1170"/>
      <c r="O1170"/>
      <c r="P1170"/>
      <c r="Q1170"/>
    </row>
    <row r="1171" spans="6:17" x14ac:dyDescent="0.3">
      <c r="F1171"/>
      <c r="G1171"/>
      <c r="H1171"/>
      <c r="I1171"/>
      <c r="J1171"/>
      <c r="K1171"/>
      <c r="L1171"/>
      <c r="M1171"/>
      <c r="N1171"/>
      <c r="O1171"/>
      <c r="P1171"/>
      <c r="Q1171"/>
    </row>
    <row r="1172" spans="6:17" x14ac:dyDescent="0.3">
      <c r="F1172"/>
      <c r="G1172"/>
      <c r="H1172"/>
      <c r="I1172"/>
      <c r="J1172"/>
      <c r="K1172"/>
      <c r="L1172"/>
      <c r="M1172"/>
      <c r="N1172"/>
      <c r="O1172"/>
      <c r="P1172"/>
      <c r="Q1172"/>
    </row>
    <row r="1173" spans="6:17" x14ac:dyDescent="0.3">
      <c r="F1173"/>
      <c r="G1173"/>
      <c r="H1173"/>
      <c r="I1173"/>
      <c r="J1173"/>
      <c r="K1173"/>
      <c r="L1173"/>
      <c r="M1173"/>
      <c r="N1173"/>
      <c r="O1173"/>
      <c r="P1173"/>
      <c r="Q1173"/>
    </row>
    <row r="1174" spans="6:17" x14ac:dyDescent="0.3">
      <c r="F1174"/>
      <c r="G1174"/>
      <c r="H1174"/>
      <c r="I1174"/>
      <c r="J1174"/>
      <c r="K1174"/>
      <c r="L1174"/>
      <c r="M1174"/>
      <c r="N1174"/>
      <c r="O1174"/>
      <c r="P1174"/>
      <c r="Q1174"/>
    </row>
    <row r="1175" spans="6:17" x14ac:dyDescent="0.3">
      <c r="F1175"/>
      <c r="G1175"/>
      <c r="H1175"/>
      <c r="I1175"/>
      <c r="J1175"/>
      <c r="K1175"/>
      <c r="L1175"/>
      <c r="M1175"/>
      <c r="N1175"/>
      <c r="O1175"/>
      <c r="P1175"/>
      <c r="Q1175"/>
    </row>
    <row r="1176" spans="6:17" x14ac:dyDescent="0.3">
      <c r="F1176"/>
      <c r="G1176"/>
      <c r="H1176"/>
      <c r="I1176"/>
      <c r="J1176"/>
      <c r="K1176"/>
      <c r="L1176"/>
      <c r="M1176"/>
      <c r="N1176"/>
      <c r="O1176"/>
      <c r="P1176"/>
      <c r="Q1176"/>
    </row>
    <row r="1177" spans="6:17" x14ac:dyDescent="0.3">
      <c r="F1177"/>
      <c r="G1177"/>
      <c r="H1177"/>
      <c r="I1177"/>
      <c r="J1177"/>
      <c r="K1177"/>
      <c r="L1177"/>
      <c r="M1177"/>
      <c r="N1177"/>
      <c r="O1177"/>
      <c r="P1177"/>
      <c r="Q1177"/>
    </row>
    <row r="1178" spans="6:17" x14ac:dyDescent="0.3">
      <c r="F1178"/>
      <c r="G1178"/>
      <c r="H1178"/>
      <c r="I1178"/>
      <c r="J1178"/>
      <c r="K1178"/>
      <c r="L1178"/>
      <c r="M1178"/>
      <c r="N1178"/>
      <c r="O1178"/>
      <c r="P1178"/>
      <c r="Q1178"/>
    </row>
    <row r="1179" spans="6:17" x14ac:dyDescent="0.3">
      <c r="F1179"/>
      <c r="G1179"/>
      <c r="H1179"/>
      <c r="I1179"/>
      <c r="J1179"/>
      <c r="K1179"/>
      <c r="L1179"/>
      <c r="M1179"/>
      <c r="N1179"/>
      <c r="O1179"/>
      <c r="P1179"/>
      <c r="Q1179"/>
    </row>
    <row r="1180" spans="6:17" x14ac:dyDescent="0.3">
      <c r="F1180"/>
      <c r="G1180"/>
      <c r="H1180"/>
      <c r="I1180"/>
      <c r="J1180"/>
      <c r="K1180"/>
      <c r="L1180"/>
      <c r="M1180"/>
      <c r="N1180"/>
      <c r="O1180"/>
      <c r="P1180"/>
      <c r="Q1180"/>
    </row>
    <row r="1181" spans="6:17" x14ac:dyDescent="0.3">
      <c r="F1181"/>
      <c r="G1181"/>
      <c r="H1181"/>
      <c r="I1181"/>
      <c r="J1181"/>
      <c r="K1181"/>
      <c r="L1181"/>
      <c r="M1181"/>
      <c r="N1181"/>
      <c r="O1181"/>
      <c r="P1181"/>
      <c r="Q1181"/>
    </row>
    <row r="1182" spans="6:17" x14ac:dyDescent="0.3">
      <c r="F1182"/>
      <c r="G1182"/>
      <c r="H1182"/>
      <c r="I1182"/>
      <c r="J1182"/>
      <c r="K1182"/>
      <c r="L1182"/>
      <c r="M1182"/>
      <c r="N1182"/>
      <c r="O1182"/>
      <c r="P1182"/>
      <c r="Q1182"/>
    </row>
    <row r="1183" spans="6:17" x14ac:dyDescent="0.3">
      <c r="F1183"/>
      <c r="G1183"/>
      <c r="H1183"/>
      <c r="I1183"/>
      <c r="J1183"/>
      <c r="K1183"/>
      <c r="L1183"/>
      <c r="M1183"/>
      <c r="N1183"/>
      <c r="O1183"/>
      <c r="P1183"/>
      <c r="Q1183"/>
    </row>
    <row r="1184" spans="6:17" x14ac:dyDescent="0.3">
      <c r="F1184"/>
      <c r="G1184"/>
      <c r="H1184"/>
      <c r="I1184"/>
      <c r="J1184"/>
      <c r="K1184"/>
      <c r="L1184"/>
      <c r="M1184"/>
      <c r="N1184"/>
      <c r="O1184"/>
      <c r="P1184"/>
      <c r="Q1184"/>
    </row>
    <row r="1185" spans="6:17" x14ac:dyDescent="0.3">
      <c r="F1185"/>
      <c r="G1185"/>
      <c r="H1185"/>
      <c r="I1185"/>
      <c r="J1185"/>
      <c r="K1185"/>
      <c r="L1185"/>
      <c r="M1185"/>
      <c r="N1185"/>
      <c r="O1185"/>
      <c r="P1185"/>
      <c r="Q1185"/>
    </row>
    <row r="1186" spans="6:17" x14ac:dyDescent="0.3">
      <c r="F1186"/>
      <c r="G1186"/>
      <c r="H1186"/>
      <c r="I1186"/>
      <c r="J1186"/>
      <c r="K1186"/>
      <c r="L1186"/>
      <c r="M1186"/>
      <c r="N1186"/>
      <c r="O1186"/>
      <c r="P1186"/>
      <c r="Q1186"/>
    </row>
    <row r="1187" spans="6:17" x14ac:dyDescent="0.3">
      <c r="F1187"/>
      <c r="G1187"/>
      <c r="H1187"/>
      <c r="I1187"/>
      <c r="J1187"/>
      <c r="K1187"/>
      <c r="L1187"/>
      <c r="M1187"/>
      <c r="N1187"/>
      <c r="O1187"/>
      <c r="P1187"/>
      <c r="Q1187"/>
    </row>
    <row r="1188" spans="6:17" x14ac:dyDescent="0.3">
      <c r="F1188"/>
      <c r="G1188"/>
      <c r="H1188"/>
      <c r="I1188"/>
      <c r="J1188"/>
      <c r="K1188"/>
      <c r="L1188"/>
      <c r="M1188"/>
      <c r="N1188"/>
      <c r="O1188"/>
      <c r="P1188"/>
      <c r="Q1188"/>
    </row>
    <row r="1189" spans="6:17" x14ac:dyDescent="0.3">
      <c r="F1189"/>
      <c r="G1189"/>
      <c r="H1189"/>
      <c r="I1189"/>
      <c r="J1189"/>
      <c r="K1189"/>
      <c r="L1189"/>
      <c r="M1189"/>
      <c r="N1189"/>
      <c r="O1189"/>
      <c r="P1189"/>
      <c r="Q1189"/>
    </row>
    <row r="1190" spans="6:17" x14ac:dyDescent="0.3">
      <c r="F1190"/>
      <c r="G1190"/>
      <c r="H1190"/>
      <c r="I1190"/>
      <c r="J1190"/>
      <c r="K1190"/>
      <c r="L1190"/>
      <c r="M1190"/>
      <c r="N1190"/>
      <c r="O1190"/>
      <c r="P1190"/>
      <c r="Q1190"/>
    </row>
    <row r="1191" spans="6:17" x14ac:dyDescent="0.3">
      <c r="F1191"/>
      <c r="G1191"/>
      <c r="H1191"/>
      <c r="I1191"/>
      <c r="J1191"/>
      <c r="K1191"/>
      <c r="L1191"/>
      <c r="M1191"/>
      <c r="N1191"/>
      <c r="O1191"/>
      <c r="P1191"/>
      <c r="Q1191"/>
    </row>
    <row r="1192" spans="6:17" x14ac:dyDescent="0.3">
      <c r="F1192"/>
      <c r="G1192"/>
      <c r="H1192"/>
      <c r="I1192"/>
      <c r="J1192"/>
      <c r="K1192"/>
      <c r="L1192"/>
      <c r="M1192"/>
      <c r="N1192"/>
      <c r="O1192"/>
      <c r="P1192"/>
      <c r="Q1192"/>
    </row>
    <row r="1193" spans="6:17" x14ac:dyDescent="0.3">
      <c r="F1193"/>
      <c r="G1193"/>
      <c r="H1193"/>
      <c r="I1193"/>
      <c r="J1193"/>
      <c r="K1193"/>
      <c r="L1193"/>
      <c r="M1193"/>
      <c r="N1193"/>
      <c r="O1193"/>
      <c r="P1193"/>
      <c r="Q1193"/>
    </row>
    <row r="1194" spans="6:17" x14ac:dyDescent="0.3">
      <c r="F1194"/>
      <c r="G1194"/>
      <c r="H1194"/>
      <c r="I1194"/>
      <c r="J1194"/>
      <c r="K1194"/>
      <c r="L1194"/>
      <c r="M1194"/>
      <c r="N1194"/>
      <c r="O1194"/>
      <c r="P1194"/>
      <c r="Q1194"/>
    </row>
    <row r="1195" spans="6:17" x14ac:dyDescent="0.3">
      <c r="F1195"/>
      <c r="G1195"/>
      <c r="H1195"/>
      <c r="I1195"/>
      <c r="J1195"/>
      <c r="K1195"/>
      <c r="L1195"/>
      <c r="M1195"/>
      <c r="N1195"/>
      <c r="O1195"/>
      <c r="P1195"/>
      <c r="Q1195"/>
    </row>
    <row r="1196" spans="6:17" x14ac:dyDescent="0.3">
      <c r="F1196"/>
      <c r="G1196"/>
      <c r="H1196"/>
      <c r="I1196"/>
      <c r="J1196"/>
      <c r="K1196"/>
      <c r="L1196"/>
      <c r="M1196"/>
      <c r="N1196"/>
      <c r="O1196"/>
      <c r="P1196"/>
      <c r="Q1196"/>
    </row>
    <row r="1197" spans="6:17" x14ac:dyDescent="0.3">
      <c r="F1197"/>
      <c r="G1197"/>
      <c r="H1197"/>
      <c r="I1197"/>
      <c r="J1197"/>
      <c r="K1197"/>
      <c r="L1197"/>
      <c r="M1197"/>
      <c r="N1197"/>
      <c r="O1197"/>
      <c r="P1197"/>
      <c r="Q1197"/>
    </row>
    <row r="1198" spans="6:17" x14ac:dyDescent="0.3">
      <c r="F1198"/>
      <c r="G1198"/>
      <c r="H1198"/>
      <c r="I1198"/>
      <c r="J1198"/>
      <c r="K1198"/>
      <c r="L1198"/>
      <c r="M1198"/>
      <c r="N1198"/>
      <c r="O1198"/>
      <c r="P1198"/>
      <c r="Q1198"/>
    </row>
    <row r="1199" spans="6:17" x14ac:dyDescent="0.3">
      <c r="F1199"/>
      <c r="G1199"/>
      <c r="H1199"/>
      <c r="I1199"/>
      <c r="J1199"/>
      <c r="K1199"/>
      <c r="L1199"/>
      <c r="M1199"/>
      <c r="N1199"/>
      <c r="O1199"/>
      <c r="P1199"/>
      <c r="Q1199"/>
    </row>
    <row r="1200" spans="6:17" x14ac:dyDescent="0.3">
      <c r="F1200"/>
      <c r="G1200"/>
      <c r="H1200"/>
      <c r="I1200"/>
      <c r="J1200"/>
      <c r="K1200"/>
      <c r="L1200"/>
      <c r="M1200"/>
      <c r="N1200"/>
      <c r="O1200"/>
      <c r="P1200"/>
      <c r="Q1200"/>
    </row>
    <row r="1201" spans="6:17" x14ac:dyDescent="0.3">
      <c r="F1201"/>
      <c r="G1201"/>
      <c r="H1201"/>
      <c r="I1201"/>
      <c r="J1201"/>
      <c r="K1201"/>
      <c r="L1201"/>
      <c r="M1201"/>
      <c r="N1201"/>
      <c r="O1201"/>
      <c r="P1201"/>
      <c r="Q1201"/>
    </row>
    <row r="1202" spans="6:17" x14ac:dyDescent="0.3">
      <c r="F1202"/>
      <c r="G1202"/>
      <c r="H1202"/>
      <c r="I1202"/>
      <c r="J1202"/>
      <c r="K1202"/>
      <c r="L1202"/>
      <c r="M1202"/>
      <c r="N1202"/>
      <c r="O1202"/>
      <c r="P1202"/>
      <c r="Q1202"/>
    </row>
    <row r="1203" spans="6:17" x14ac:dyDescent="0.3">
      <c r="F1203"/>
      <c r="G1203"/>
      <c r="H1203"/>
      <c r="I1203"/>
      <c r="J1203"/>
      <c r="K1203"/>
      <c r="L1203"/>
      <c r="M1203"/>
      <c r="N1203"/>
      <c r="O1203"/>
      <c r="P1203"/>
      <c r="Q1203"/>
    </row>
    <row r="1204" spans="6:17" x14ac:dyDescent="0.3">
      <c r="F1204"/>
      <c r="G1204"/>
      <c r="H1204"/>
      <c r="I1204"/>
      <c r="J1204"/>
      <c r="K1204"/>
      <c r="L1204"/>
      <c r="M1204"/>
      <c r="N1204"/>
      <c r="O1204"/>
      <c r="P1204"/>
      <c r="Q1204"/>
    </row>
    <row r="1205" spans="6:17" x14ac:dyDescent="0.3">
      <c r="F1205"/>
      <c r="G1205"/>
      <c r="H1205"/>
      <c r="I1205"/>
      <c r="J1205"/>
      <c r="K1205"/>
      <c r="L1205"/>
      <c r="M1205"/>
      <c r="N1205"/>
      <c r="O1205"/>
      <c r="P1205"/>
      <c r="Q1205"/>
    </row>
    <row r="1206" spans="6:17" x14ac:dyDescent="0.3">
      <c r="F1206"/>
      <c r="G1206"/>
      <c r="H1206"/>
      <c r="I1206"/>
      <c r="J1206"/>
      <c r="K1206"/>
      <c r="L1206"/>
      <c r="M1206"/>
      <c r="N1206"/>
      <c r="O1206"/>
      <c r="P1206"/>
      <c r="Q1206"/>
    </row>
    <row r="1207" spans="6:17" x14ac:dyDescent="0.3">
      <c r="F1207"/>
      <c r="G1207"/>
      <c r="H1207"/>
      <c r="I1207"/>
      <c r="J1207"/>
      <c r="K1207"/>
      <c r="L1207"/>
      <c r="M1207"/>
      <c r="N1207"/>
      <c r="O1207"/>
      <c r="P1207"/>
      <c r="Q1207"/>
    </row>
    <row r="1208" spans="6:17" x14ac:dyDescent="0.3">
      <c r="F1208"/>
      <c r="G1208"/>
      <c r="H1208"/>
      <c r="I1208"/>
      <c r="J1208"/>
      <c r="K1208"/>
      <c r="L1208"/>
      <c r="M1208"/>
      <c r="N1208"/>
      <c r="O1208"/>
      <c r="P1208"/>
      <c r="Q1208"/>
    </row>
    <row r="1209" spans="6:17" x14ac:dyDescent="0.3">
      <c r="F1209"/>
      <c r="G1209"/>
      <c r="H1209"/>
      <c r="I1209"/>
      <c r="J1209"/>
      <c r="K1209"/>
      <c r="L1209"/>
      <c r="M1209"/>
      <c r="N1209"/>
      <c r="O1209"/>
      <c r="P1209"/>
      <c r="Q1209"/>
    </row>
    <row r="1210" spans="6:17" x14ac:dyDescent="0.3">
      <c r="F1210"/>
      <c r="G1210"/>
      <c r="H1210"/>
      <c r="I1210"/>
      <c r="J1210"/>
      <c r="K1210"/>
      <c r="L1210"/>
      <c r="M1210"/>
      <c r="N1210"/>
      <c r="O1210"/>
      <c r="P1210"/>
      <c r="Q1210"/>
    </row>
    <row r="1211" spans="6:17" x14ac:dyDescent="0.3">
      <c r="F1211"/>
      <c r="G1211"/>
      <c r="H1211"/>
      <c r="I1211"/>
      <c r="J1211"/>
      <c r="K1211"/>
      <c r="L1211"/>
      <c r="M1211"/>
      <c r="N1211"/>
      <c r="O1211"/>
      <c r="P1211"/>
      <c r="Q1211"/>
    </row>
    <row r="1212" spans="6:17" x14ac:dyDescent="0.3">
      <c r="F1212"/>
      <c r="G1212"/>
      <c r="H1212"/>
      <c r="I1212"/>
      <c r="J1212"/>
      <c r="K1212"/>
      <c r="L1212"/>
      <c r="M1212"/>
      <c r="N1212"/>
      <c r="O1212"/>
      <c r="P1212"/>
      <c r="Q1212"/>
    </row>
    <row r="1213" spans="6:17" x14ac:dyDescent="0.3">
      <c r="F1213"/>
      <c r="G1213"/>
      <c r="H1213"/>
      <c r="I1213"/>
      <c r="J1213"/>
      <c r="K1213"/>
      <c r="L1213"/>
      <c r="M1213"/>
      <c r="N1213"/>
      <c r="O1213"/>
      <c r="P1213"/>
      <c r="Q1213"/>
    </row>
    <row r="1214" spans="6:17" x14ac:dyDescent="0.3">
      <c r="F1214"/>
      <c r="G1214"/>
      <c r="H1214"/>
      <c r="I1214"/>
      <c r="J1214"/>
      <c r="K1214"/>
      <c r="L1214"/>
      <c r="M1214"/>
      <c r="N1214"/>
      <c r="O1214"/>
      <c r="P1214"/>
      <c r="Q1214"/>
    </row>
    <row r="1215" spans="6:17" x14ac:dyDescent="0.3">
      <c r="F1215"/>
      <c r="G1215"/>
      <c r="H1215"/>
      <c r="I1215"/>
      <c r="J1215"/>
      <c r="K1215"/>
      <c r="L1215"/>
      <c r="M1215"/>
      <c r="N1215"/>
      <c r="O1215"/>
      <c r="P1215"/>
      <c r="Q1215"/>
    </row>
    <row r="1216" spans="6:17" x14ac:dyDescent="0.3">
      <c r="F1216"/>
      <c r="G1216"/>
      <c r="H1216"/>
      <c r="I1216"/>
      <c r="J1216"/>
      <c r="K1216"/>
      <c r="L1216"/>
      <c r="M1216"/>
      <c r="N1216"/>
      <c r="O1216"/>
      <c r="P1216"/>
      <c r="Q1216"/>
    </row>
    <row r="1217" spans="6:17" x14ac:dyDescent="0.3">
      <c r="F1217"/>
      <c r="G1217"/>
      <c r="H1217"/>
      <c r="I1217"/>
      <c r="J1217"/>
      <c r="K1217"/>
      <c r="L1217"/>
      <c r="M1217"/>
      <c r="N1217"/>
      <c r="O1217"/>
      <c r="P1217"/>
      <c r="Q1217"/>
    </row>
    <row r="1218" spans="6:17" x14ac:dyDescent="0.3">
      <c r="F1218"/>
      <c r="G1218"/>
      <c r="H1218"/>
      <c r="I1218"/>
      <c r="J1218"/>
      <c r="K1218"/>
      <c r="L1218"/>
      <c r="M1218"/>
      <c r="N1218"/>
      <c r="O1218"/>
      <c r="P1218"/>
      <c r="Q1218"/>
    </row>
    <row r="1219" spans="6:17" x14ac:dyDescent="0.3">
      <c r="F1219"/>
      <c r="G1219"/>
      <c r="H1219"/>
      <c r="I1219"/>
      <c r="J1219"/>
      <c r="K1219"/>
      <c r="L1219"/>
      <c r="M1219"/>
      <c r="N1219"/>
      <c r="O1219"/>
      <c r="P1219"/>
      <c r="Q1219"/>
    </row>
    <row r="1220" spans="6:17" x14ac:dyDescent="0.3">
      <c r="F1220"/>
      <c r="G1220"/>
      <c r="H1220"/>
      <c r="I1220"/>
      <c r="J1220"/>
      <c r="K1220"/>
      <c r="L1220"/>
      <c r="M1220"/>
      <c r="N1220"/>
      <c r="O1220"/>
      <c r="P1220"/>
      <c r="Q1220"/>
    </row>
    <row r="1221" spans="6:17" x14ac:dyDescent="0.3">
      <c r="F1221"/>
      <c r="G1221"/>
      <c r="H1221"/>
      <c r="I1221"/>
      <c r="J1221"/>
      <c r="K1221"/>
      <c r="L1221"/>
      <c r="M1221"/>
      <c r="N1221"/>
      <c r="O1221"/>
      <c r="P1221"/>
      <c r="Q1221"/>
    </row>
    <row r="1222" spans="6:17" x14ac:dyDescent="0.3">
      <c r="F1222"/>
      <c r="G1222"/>
      <c r="H1222"/>
      <c r="I1222"/>
      <c r="J1222"/>
      <c r="K1222"/>
      <c r="L1222"/>
      <c r="M1222"/>
      <c r="N1222"/>
      <c r="O1222"/>
      <c r="P1222"/>
      <c r="Q1222"/>
    </row>
    <row r="1223" spans="6:17" x14ac:dyDescent="0.3">
      <c r="F1223"/>
      <c r="G1223"/>
      <c r="H1223"/>
      <c r="I1223"/>
      <c r="J1223"/>
      <c r="K1223"/>
      <c r="L1223"/>
      <c r="M1223"/>
      <c r="N1223"/>
      <c r="O1223"/>
      <c r="P1223"/>
      <c r="Q1223"/>
    </row>
    <row r="1224" spans="6:17" x14ac:dyDescent="0.3">
      <c r="F1224"/>
      <c r="G1224"/>
      <c r="H1224"/>
      <c r="I1224"/>
      <c r="J1224"/>
      <c r="K1224"/>
      <c r="L1224"/>
      <c r="M1224"/>
      <c r="N1224"/>
      <c r="O1224"/>
      <c r="P1224"/>
      <c r="Q1224"/>
    </row>
    <row r="1225" spans="6:17" x14ac:dyDescent="0.3">
      <c r="F1225"/>
      <c r="G1225"/>
      <c r="H1225"/>
      <c r="I1225"/>
      <c r="J1225"/>
      <c r="K1225"/>
      <c r="L1225"/>
      <c r="M1225"/>
      <c r="N1225"/>
      <c r="O1225"/>
      <c r="P1225"/>
      <c r="Q1225"/>
    </row>
    <row r="1226" spans="6:17" x14ac:dyDescent="0.3">
      <c r="F1226"/>
      <c r="G1226"/>
      <c r="H1226"/>
      <c r="I1226"/>
      <c r="J1226"/>
      <c r="K1226"/>
      <c r="L1226"/>
      <c r="M1226"/>
      <c r="N1226"/>
      <c r="O1226"/>
      <c r="P1226"/>
      <c r="Q1226"/>
    </row>
    <row r="1227" spans="6:17" x14ac:dyDescent="0.3">
      <c r="F1227"/>
      <c r="G1227"/>
      <c r="H1227"/>
      <c r="I1227"/>
      <c r="J1227"/>
      <c r="K1227"/>
      <c r="L1227"/>
      <c r="M1227"/>
      <c r="N1227"/>
      <c r="O1227"/>
      <c r="P1227"/>
      <c r="Q1227"/>
    </row>
    <row r="1228" spans="6:17" x14ac:dyDescent="0.3">
      <c r="F1228"/>
      <c r="G1228"/>
      <c r="H1228"/>
      <c r="I1228"/>
      <c r="J1228"/>
      <c r="K1228"/>
      <c r="L1228"/>
      <c r="M1228"/>
      <c r="N1228"/>
      <c r="O1228"/>
      <c r="P1228"/>
      <c r="Q1228"/>
    </row>
    <row r="1229" spans="6:17" x14ac:dyDescent="0.3">
      <c r="F1229"/>
      <c r="G1229"/>
      <c r="H1229"/>
      <c r="I1229"/>
      <c r="J1229"/>
      <c r="K1229"/>
      <c r="L1229"/>
      <c r="M1229"/>
      <c r="N1229"/>
      <c r="O1229"/>
      <c r="P1229"/>
      <c r="Q1229"/>
    </row>
    <row r="1230" spans="6:17" x14ac:dyDescent="0.3">
      <c r="F1230"/>
      <c r="G1230"/>
      <c r="H1230"/>
      <c r="I1230"/>
      <c r="J1230"/>
      <c r="K1230"/>
      <c r="L1230"/>
      <c r="M1230"/>
      <c r="N1230"/>
      <c r="O1230"/>
      <c r="P1230"/>
      <c r="Q1230"/>
    </row>
    <row r="1231" spans="6:17" x14ac:dyDescent="0.3">
      <c r="F1231"/>
      <c r="G1231"/>
      <c r="H1231"/>
      <c r="I1231"/>
      <c r="J1231"/>
      <c r="K1231"/>
      <c r="L1231"/>
      <c r="M1231"/>
      <c r="N1231"/>
      <c r="O1231"/>
      <c r="P1231"/>
      <c r="Q1231"/>
    </row>
    <row r="1232" spans="6:17" x14ac:dyDescent="0.3">
      <c r="F1232"/>
      <c r="G1232"/>
      <c r="H1232"/>
      <c r="I1232"/>
      <c r="J1232"/>
      <c r="K1232"/>
      <c r="L1232"/>
      <c r="M1232"/>
      <c r="N1232"/>
      <c r="O1232"/>
      <c r="P1232"/>
      <c r="Q1232"/>
    </row>
    <row r="1233" spans="6:17" x14ac:dyDescent="0.3">
      <c r="F1233"/>
      <c r="G1233"/>
      <c r="H1233"/>
      <c r="I1233"/>
      <c r="J1233"/>
      <c r="K1233"/>
      <c r="L1233"/>
      <c r="M1233"/>
      <c r="N1233"/>
      <c r="O1233"/>
      <c r="P1233"/>
      <c r="Q1233"/>
    </row>
    <row r="1234" spans="6:17" x14ac:dyDescent="0.3">
      <c r="F1234"/>
      <c r="G1234"/>
      <c r="H1234"/>
      <c r="I1234"/>
      <c r="J1234"/>
      <c r="K1234"/>
      <c r="L1234"/>
      <c r="M1234"/>
      <c r="N1234"/>
      <c r="O1234"/>
      <c r="P1234"/>
      <c r="Q1234"/>
    </row>
    <row r="1235" spans="6:17" x14ac:dyDescent="0.3">
      <c r="F1235"/>
      <c r="G1235"/>
      <c r="H1235"/>
      <c r="I1235"/>
      <c r="J1235"/>
      <c r="K1235"/>
      <c r="L1235"/>
      <c r="M1235"/>
      <c r="N1235"/>
      <c r="O1235"/>
      <c r="P1235"/>
      <c r="Q1235"/>
    </row>
    <row r="1236" spans="6:17" x14ac:dyDescent="0.3">
      <c r="F1236"/>
      <c r="G1236"/>
      <c r="H1236"/>
      <c r="I1236"/>
      <c r="J1236"/>
      <c r="K1236"/>
      <c r="L1236"/>
      <c r="M1236"/>
      <c r="N1236"/>
      <c r="O1236"/>
      <c r="P1236"/>
      <c r="Q1236"/>
    </row>
    <row r="1237" spans="6:17" x14ac:dyDescent="0.3">
      <c r="F1237"/>
      <c r="G1237"/>
      <c r="H1237"/>
      <c r="I1237"/>
      <c r="J1237"/>
      <c r="K1237"/>
      <c r="L1237"/>
      <c r="M1237"/>
      <c r="N1237"/>
      <c r="O1237"/>
      <c r="P1237"/>
      <c r="Q1237"/>
    </row>
    <row r="1238" spans="6:17" x14ac:dyDescent="0.3">
      <c r="F1238"/>
      <c r="G1238"/>
      <c r="H1238"/>
      <c r="I1238"/>
      <c r="J1238"/>
      <c r="K1238"/>
      <c r="L1238"/>
      <c r="M1238"/>
      <c r="N1238"/>
      <c r="O1238"/>
      <c r="P1238"/>
      <c r="Q1238"/>
    </row>
    <row r="1239" spans="6:17" x14ac:dyDescent="0.3">
      <c r="F1239"/>
      <c r="G1239"/>
      <c r="H1239"/>
      <c r="I1239"/>
      <c r="J1239"/>
      <c r="K1239"/>
      <c r="L1239"/>
      <c r="M1239"/>
      <c r="N1239"/>
      <c r="O1239"/>
      <c r="P1239"/>
      <c r="Q1239"/>
    </row>
    <row r="1240" spans="6:17" x14ac:dyDescent="0.3">
      <c r="F1240"/>
      <c r="G1240"/>
      <c r="H1240"/>
      <c r="I1240"/>
      <c r="J1240"/>
      <c r="K1240"/>
      <c r="L1240"/>
      <c r="M1240"/>
      <c r="N1240"/>
      <c r="O1240"/>
      <c r="P1240"/>
      <c r="Q1240"/>
    </row>
    <row r="1241" spans="6:17" x14ac:dyDescent="0.3">
      <c r="F1241"/>
      <c r="G1241"/>
      <c r="H1241"/>
      <c r="I1241"/>
      <c r="J1241"/>
      <c r="K1241"/>
      <c r="L1241"/>
      <c r="M1241"/>
      <c r="N1241"/>
      <c r="O1241"/>
      <c r="P1241"/>
      <c r="Q1241"/>
    </row>
    <row r="1242" spans="6:17" x14ac:dyDescent="0.3">
      <c r="F1242"/>
      <c r="G1242"/>
      <c r="H1242"/>
      <c r="I1242"/>
      <c r="J1242"/>
      <c r="K1242"/>
      <c r="L1242"/>
      <c r="M1242"/>
      <c r="N1242"/>
      <c r="O1242"/>
      <c r="P1242"/>
      <c r="Q1242"/>
    </row>
    <row r="1243" spans="6:17" x14ac:dyDescent="0.3">
      <c r="F1243"/>
      <c r="G1243"/>
      <c r="H1243"/>
      <c r="I1243"/>
      <c r="J1243"/>
      <c r="K1243"/>
      <c r="L1243"/>
      <c r="M1243"/>
      <c r="N1243"/>
      <c r="O1243"/>
      <c r="P1243"/>
      <c r="Q1243"/>
    </row>
    <row r="1244" spans="6:17" x14ac:dyDescent="0.3">
      <c r="F1244"/>
      <c r="G1244"/>
      <c r="H1244"/>
      <c r="I1244"/>
      <c r="J1244"/>
      <c r="K1244"/>
      <c r="L1244"/>
      <c r="M1244"/>
      <c r="N1244"/>
      <c r="O1244"/>
      <c r="P1244"/>
      <c r="Q1244"/>
    </row>
    <row r="1245" spans="6:17" x14ac:dyDescent="0.3">
      <c r="F1245"/>
      <c r="G1245"/>
      <c r="H1245"/>
      <c r="I1245"/>
      <c r="J1245"/>
      <c r="K1245"/>
      <c r="L1245"/>
      <c r="M1245"/>
      <c r="N1245"/>
      <c r="O1245"/>
      <c r="P1245"/>
      <c r="Q1245"/>
    </row>
    <row r="1246" spans="6:17" x14ac:dyDescent="0.3">
      <c r="F1246"/>
      <c r="G1246"/>
      <c r="H1246"/>
      <c r="I1246"/>
      <c r="J1246"/>
      <c r="K1246"/>
      <c r="L1246"/>
      <c r="M1246"/>
      <c r="N1246"/>
      <c r="O1246"/>
      <c r="P1246"/>
      <c r="Q1246"/>
    </row>
    <row r="1247" spans="6:17" x14ac:dyDescent="0.3">
      <c r="F1247"/>
      <c r="G1247"/>
      <c r="H1247"/>
      <c r="I1247"/>
      <c r="J1247"/>
      <c r="K1247"/>
      <c r="L1247"/>
      <c r="M1247"/>
      <c r="N1247"/>
      <c r="O1247"/>
      <c r="P1247"/>
      <c r="Q1247"/>
    </row>
    <row r="1248" spans="6:17" x14ac:dyDescent="0.3">
      <c r="F1248"/>
      <c r="G1248"/>
      <c r="H1248"/>
      <c r="I1248"/>
      <c r="J1248"/>
      <c r="K1248"/>
      <c r="L1248"/>
      <c r="M1248"/>
      <c r="N1248"/>
      <c r="O1248"/>
      <c r="P1248"/>
      <c r="Q1248"/>
    </row>
    <row r="1249" spans="6:17" x14ac:dyDescent="0.3">
      <c r="F1249"/>
      <c r="G1249"/>
      <c r="H1249"/>
      <c r="I1249"/>
      <c r="J1249"/>
      <c r="K1249"/>
      <c r="L1249"/>
      <c r="M1249"/>
      <c r="N1249"/>
      <c r="O1249"/>
      <c r="P1249"/>
      <c r="Q1249"/>
    </row>
    <row r="1250" spans="6:17" x14ac:dyDescent="0.3">
      <c r="F1250"/>
      <c r="G1250"/>
      <c r="H1250"/>
      <c r="I1250"/>
      <c r="J1250"/>
      <c r="K1250"/>
      <c r="L1250"/>
      <c r="M1250"/>
      <c r="N1250"/>
      <c r="O1250"/>
      <c r="P1250"/>
      <c r="Q1250"/>
    </row>
    <row r="1251" spans="6:17" x14ac:dyDescent="0.3">
      <c r="F1251"/>
      <c r="G1251"/>
      <c r="H1251"/>
      <c r="I1251"/>
      <c r="J1251"/>
      <c r="K1251"/>
      <c r="L1251"/>
      <c r="M1251"/>
      <c r="N1251"/>
      <c r="O1251"/>
      <c r="P1251"/>
      <c r="Q1251"/>
    </row>
    <row r="1252" spans="6:17" x14ac:dyDescent="0.3">
      <c r="F1252"/>
      <c r="G1252"/>
      <c r="H1252"/>
      <c r="I1252"/>
      <c r="J1252"/>
      <c r="K1252"/>
      <c r="L1252"/>
      <c r="M1252"/>
      <c r="N1252"/>
      <c r="O1252"/>
      <c r="P1252"/>
      <c r="Q1252"/>
    </row>
    <row r="1253" spans="6:17" x14ac:dyDescent="0.3">
      <c r="F1253"/>
      <c r="G1253"/>
      <c r="H1253"/>
      <c r="I1253"/>
      <c r="J1253"/>
      <c r="K1253"/>
      <c r="L1253"/>
      <c r="M1253"/>
      <c r="N1253"/>
      <c r="O1253"/>
      <c r="P1253"/>
      <c r="Q1253"/>
    </row>
    <row r="1254" spans="6:17" x14ac:dyDescent="0.3">
      <c r="F1254"/>
      <c r="G1254"/>
      <c r="H1254"/>
      <c r="I1254"/>
      <c r="J1254"/>
      <c r="K1254"/>
      <c r="L1254"/>
      <c r="M1254"/>
      <c r="N1254"/>
      <c r="O1254"/>
      <c r="P1254"/>
      <c r="Q1254"/>
    </row>
    <row r="1255" spans="6:17" x14ac:dyDescent="0.3">
      <c r="F1255"/>
      <c r="G1255"/>
      <c r="H1255"/>
      <c r="I1255"/>
      <c r="J1255"/>
      <c r="K1255"/>
      <c r="L1255"/>
      <c r="M1255"/>
      <c r="N1255"/>
      <c r="O1255"/>
      <c r="P1255"/>
      <c r="Q1255"/>
    </row>
    <row r="1256" spans="6:17" x14ac:dyDescent="0.3">
      <c r="F1256"/>
      <c r="G1256"/>
      <c r="H1256"/>
      <c r="I1256"/>
      <c r="J1256"/>
      <c r="K1256"/>
      <c r="L1256"/>
      <c r="M1256"/>
      <c r="N1256"/>
      <c r="O1256"/>
      <c r="P1256"/>
      <c r="Q1256"/>
    </row>
    <row r="1257" spans="6:17" x14ac:dyDescent="0.3">
      <c r="F1257"/>
      <c r="G1257"/>
      <c r="H1257"/>
      <c r="I1257"/>
      <c r="J1257"/>
      <c r="K1257"/>
      <c r="L1257"/>
      <c r="M1257"/>
      <c r="N1257"/>
      <c r="O1257"/>
      <c r="P1257"/>
      <c r="Q1257"/>
    </row>
    <row r="1258" spans="6:17" x14ac:dyDescent="0.3">
      <c r="F1258"/>
      <c r="G1258"/>
      <c r="H1258"/>
      <c r="I1258"/>
      <c r="J1258"/>
      <c r="K1258"/>
      <c r="L1258"/>
      <c r="M1258"/>
      <c r="N1258"/>
      <c r="O1258"/>
      <c r="P1258"/>
      <c r="Q1258"/>
    </row>
    <row r="1259" spans="6:17" x14ac:dyDescent="0.3">
      <c r="F1259"/>
      <c r="G1259"/>
      <c r="H1259"/>
      <c r="I1259"/>
      <c r="J1259"/>
      <c r="K1259"/>
      <c r="L1259"/>
      <c r="M1259"/>
      <c r="N1259"/>
      <c r="O1259"/>
      <c r="P1259"/>
      <c r="Q1259"/>
    </row>
    <row r="1260" spans="6:17" x14ac:dyDescent="0.3">
      <c r="F1260"/>
      <c r="G1260"/>
      <c r="H1260"/>
      <c r="I1260"/>
      <c r="J1260"/>
      <c r="K1260"/>
      <c r="L1260"/>
      <c r="M1260"/>
      <c r="N1260"/>
      <c r="O1260"/>
      <c r="P1260"/>
      <c r="Q1260"/>
    </row>
    <row r="1261" spans="6:17" x14ac:dyDescent="0.3">
      <c r="F1261"/>
      <c r="G1261"/>
      <c r="H1261"/>
      <c r="I1261"/>
      <c r="J1261"/>
      <c r="K1261"/>
      <c r="L1261"/>
      <c r="M1261"/>
      <c r="N1261"/>
      <c r="O1261"/>
      <c r="P1261"/>
      <c r="Q1261"/>
    </row>
    <row r="1262" spans="6:17" x14ac:dyDescent="0.3">
      <c r="F1262"/>
      <c r="G1262"/>
      <c r="H1262"/>
      <c r="I1262"/>
      <c r="J1262"/>
      <c r="K1262"/>
      <c r="L1262"/>
      <c r="M1262"/>
      <c r="N1262"/>
      <c r="O1262"/>
      <c r="P1262"/>
      <c r="Q1262"/>
    </row>
    <row r="1263" spans="6:17" x14ac:dyDescent="0.3">
      <c r="F1263"/>
      <c r="G1263"/>
      <c r="H1263"/>
      <c r="I1263"/>
      <c r="J1263"/>
      <c r="K1263"/>
      <c r="L1263"/>
      <c r="M1263"/>
      <c r="N1263"/>
      <c r="O1263"/>
      <c r="P1263"/>
      <c r="Q1263"/>
    </row>
    <row r="1264" spans="6:17" x14ac:dyDescent="0.3">
      <c r="F1264"/>
      <c r="G1264"/>
      <c r="H1264"/>
      <c r="I1264"/>
      <c r="J1264"/>
      <c r="K1264"/>
      <c r="L1264"/>
      <c r="M1264"/>
      <c r="N1264"/>
      <c r="O1264"/>
      <c r="P1264"/>
      <c r="Q1264"/>
    </row>
    <row r="1265" spans="6:17" x14ac:dyDescent="0.3">
      <c r="F1265"/>
      <c r="G1265"/>
      <c r="H1265"/>
      <c r="I1265"/>
      <c r="J1265"/>
      <c r="K1265"/>
      <c r="L1265"/>
      <c r="M1265"/>
      <c r="N1265"/>
      <c r="O1265"/>
      <c r="P1265"/>
      <c r="Q1265"/>
    </row>
    <row r="1266" spans="6:17" x14ac:dyDescent="0.3">
      <c r="F1266"/>
      <c r="G1266"/>
      <c r="H1266"/>
      <c r="I1266"/>
      <c r="J1266"/>
      <c r="K1266"/>
      <c r="L1266"/>
      <c r="M1266"/>
      <c r="N1266"/>
      <c r="O1266"/>
      <c r="P1266"/>
      <c r="Q1266"/>
    </row>
    <row r="1267" spans="6:17" x14ac:dyDescent="0.3">
      <c r="F1267"/>
      <c r="G1267"/>
      <c r="H1267"/>
      <c r="I1267"/>
      <c r="J1267"/>
      <c r="K1267"/>
      <c r="L1267"/>
      <c r="M1267"/>
      <c r="N1267"/>
      <c r="O1267"/>
      <c r="P1267"/>
      <c r="Q1267"/>
    </row>
    <row r="1268" spans="6:17" x14ac:dyDescent="0.3">
      <c r="F1268"/>
      <c r="G1268"/>
      <c r="H1268"/>
      <c r="I1268"/>
      <c r="J1268"/>
      <c r="K1268"/>
      <c r="L1268"/>
      <c r="M1268"/>
      <c r="N1268"/>
      <c r="O1268"/>
      <c r="P1268"/>
      <c r="Q1268"/>
    </row>
    <row r="1269" spans="6:17" x14ac:dyDescent="0.3">
      <c r="F1269"/>
      <c r="G1269"/>
      <c r="H1269"/>
      <c r="I1269"/>
      <c r="J1269"/>
      <c r="K1269"/>
      <c r="L1269"/>
      <c r="M1269"/>
      <c r="N1269"/>
      <c r="O1269"/>
      <c r="P1269"/>
      <c r="Q1269"/>
    </row>
    <row r="1270" spans="6:17" x14ac:dyDescent="0.3">
      <c r="F1270"/>
      <c r="G1270"/>
      <c r="H1270"/>
      <c r="I1270"/>
      <c r="J1270"/>
      <c r="K1270"/>
      <c r="L1270"/>
      <c r="M1270"/>
      <c r="N1270"/>
      <c r="O1270"/>
      <c r="P1270"/>
      <c r="Q1270"/>
    </row>
    <row r="1271" spans="6:17" x14ac:dyDescent="0.3">
      <c r="F1271"/>
      <c r="G1271"/>
      <c r="H1271"/>
      <c r="I1271"/>
      <c r="J1271"/>
      <c r="K1271"/>
      <c r="L1271"/>
      <c r="M1271"/>
      <c r="N1271"/>
      <c r="O1271"/>
      <c r="P1271"/>
      <c r="Q1271"/>
    </row>
    <row r="1272" spans="6:17" x14ac:dyDescent="0.3">
      <c r="F1272"/>
      <c r="G1272"/>
      <c r="H1272"/>
      <c r="I1272"/>
      <c r="J1272"/>
      <c r="K1272"/>
      <c r="L1272"/>
      <c r="M1272"/>
      <c r="N1272"/>
      <c r="O1272"/>
      <c r="P1272"/>
      <c r="Q1272"/>
    </row>
    <row r="1273" spans="6:17" x14ac:dyDescent="0.3">
      <c r="F1273"/>
      <c r="G1273"/>
      <c r="H1273"/>
      <c r="I1273"/>
      <c r="J1273"/>
      <c r="K1273"/>
      <c r="L1273"/>
      <c r="M1273"/>
      <c r="N1273"/>
      <c r="O1273"/>
      <c r="P1273"/>
      <c r="Q1273"/>
    </row>
    <row r="1274" spans="6:17" x14ac:dyDescent="0.3">
      <c r="F1274"/>
      <c r="G1274"/>
      <c r="H1274"/>
      <c r="I1274"/>
      <c r="J1274"/>
      <c r="K1274"/>
      <c r="L1274"/>
      <c r="M1274"/>
      <c r="N1274"/>
      <c r="O1274"/>
      <c r="P1274"/>
      <c r="Q1274"/>
    </row>
    <row r="1275" spans="6:17" x14ac:dyDescent="0.3">
      <c r="F1275"/>
      <c r="G1275"/>
      <c r="H1275"/>
      <c r="I1275"/>
      <c r="J1275"/>
      <c r="K1275"/>
      <c r="L1275"/>
      <c r="M1275"/>
      <c r="N1275"/>
      <c r="O1275"/>
      <c r="P1275"/>
      <c r="Q1275"/>
    </row>
    <row r="1276" spans="6:17" x14ac:dyDescent="0.3">
      <c r="F1276"/>
      <c r="G1276"/>
      <c r="H1276"/>
      <c r="I1276"/>
      <c r="J1276"/>
      <c r="K1276"/>
      <c r="L1276"/>
      <c r="M1276"/>
      <c r="N1276"/>
      <c r="O1276"/>
      <c r="P1276"/>
      <c r="Q1276"/>
    </row>
    <row r="1277" spans="6:17" x14ac:dyDescent="0.3">
      <c r="F1277"/>
      <c r="G1277"/>
      <c r="H1277"/>
      <c r="I1277"/>
      <c r="J1277"/>
      <c r="K1277"/>
      <c r="L1277"/>
      <c r="M1277"/>
      <c r="N1277"/>
      <c r="O1277"/>
      <c r="P1277"/>
      <c r="Q1277"/>
    </row>
    <row r="1278" spans="6:17" x14ac:dyDescent="0.3">
      <c r="F1278"/>
      <c r="G1278"/>
      <c r="H1278"/>
      <c r="I1278"/>
      <c r="J1278"/>
      <c r="K1278"/>
      <c r="L1278"/>
      <c r="M1278"/>
      <c r="N1278"/>
      <c r="O1278"/>
      <c r="P1278"/>
      <c r="Q1278"/>
    </row>
    <row r="1279" spans="6:17" x14ac:dyDescent="0.3">
      <c r="F1279"/>
      <c r="G1279"/>
      <c r="H1279"/>
      <c r="I1279"/>
      <c r="J1279"/>
      <c r="K1279"/>
      <c r="L1279"/>
      <c r="M1279"/>
      <c r="N1279"/>
      <c r="O1279"/>
      <c r="P1279"/>
      <c r="Q1279"/>
    </row>
    <row r="1280" spans="6:17" x14ac:dyDescent="0.3">
      <c r="F1280"/>
      <c r="G1280"/>
      <c r="H1280"/>
      <c r="I1280"/>
      <c r="J1280"/>
      <c r="K1280"/>
      <c r="L1280"/>
      <c r="M1280"/>
      <c r="N1280"/>
      <c r="O1280"/>
      <c r="P1280"/>
      <c r="Q1280"/>
    </row>
    <row r="1281" spans="6:17" x14ac:dyDescent="0.3">
      <c r="F1281"/>
      <c r="G1281"/>
      <c r="H1281"/>
      <c r="I1281"/>
      <c r="J1281"/>
      <c r="K1281"/>
      <c r="L1281"/>
      <c r="M1281"/>
      <c r="N1281"/>
      <c r="O1281"/>
      <c r="P1281"/>
      <c r="Q1281"/>
    </row>
    <row r="1282" spans="6:17" x14ac:dyDescent="0.3">
      <c r="F1282"/>
      <c r="G1282"/>
      <c r="H1282"/>
      <c r="I1282"/>
      <c r="J1282"/>
      <c r="K1282"/>
      <c r="L1282"/>
      <c r="M1282"/>
      <c r="N1282"/>
      <c r="O1282"/>
      <c r="P1282"/>
      <c r="Q1282"/>
    </row>
    <row r="1283" spans="6:17" x14ac:dyDescent="0.3">
      <c r="F1283"/>
      <c r="G1283"/>
      <c r="H1283"/>
      <c r="I1283"/>
      <c r="J1283"/>
      <c r="K1283"/>
      <c r="L1283"/>
      <c r="M1283"/>
      <c r="N1283"/>
      <c r="O1283"/>
      <c r="P1283"/>
      <c r="Q1283"/>
    </row>
    <row r="1284" spans="6:17" x14ac:dyDescent="0.3">
      <c r="F1284"/>
      <c r="G1284"/>
      <c r="H1284"/>
      <c r="I1284"/>
      <c r="J1284"/>
      <c r="K1284"/>
      <c r="L1284"/>
      <c r="M1284"/>
      <c r="N1284"/>
      <c r="O1284"/>
      <c r="P1284"/>
      <c r="Q1284"/>
    </row>
    <row r="1285" spans="6:17" x14ac:dyDescent="0.3">
      <c r="F1285"/>
      <c r="G1285"/>
      <c r="H1285"/>
      <c r="I1285"/>
      <c r="J1285"/>
      <c r="K1285"/>
      <c r="L1285"/>
      <c r="M1285"/>
      <c r="N1285"/>
      <c r="O1285"/>
      <c r="P1285"/>
      <c r="Q1285"/>
    </row>
    <row r="1286" spans="6:17" x14ac:dyDescent="0.3">
      <c r="F1286"/>
      <c r="G1286"/>
      <c r="H1286"/>
      <c r="I1286"/>
      <c r="J1286"/>
      <c r="K1286"/>
      <c r="L1286"/>
      <c r="M1286"/>
      <c r="N1286"/>
      <c r="O1286"/>
      <c r="P1286"/>
      <c r="Q1286"/>
    </row>
    <row r="1287" spans="6:17" x14ac:dyDescent="0.3">
      <c r="F1287"/>
      <c r="G1287"/>
      <c r="H1287"/>
      <c r="I1287"/>
      <c r="J1287"/>
      <c r="K1287"/>
      <c r="L1287"/>
      <c r="M1287"/>
      <c r="N1287"/>
      <c r="O1287"/>
      <c r="P1287"/>
      <c r="Q1287"/>
    </row>
    <row r="1288" spans="6:17" x14ac:dyDescent="0.3">
      <c r="F1288"/>
      <c r="G1288"/>
      <c r="H1288"/>
      <c r="I1288"/>
      <c r="J1288"/>
      <c r="K1288"/>
      <c r="L1288"/>
      <c r="M1288"/>
      <c r="N1288"/>
      <c r="O1288"/>
      <c r="P1288"/>
      <c r="Q1288"/>
    </row>
    <row r="1289" spans="6:17" x14ac:dyDescent="0.3">
      <c r="F1289"/>
      <c r="G1289"/>
      <c r="H1289"/>
      <c r="I1289"/>
      <c r="J1289"/>
      <c r="K1289"/>
      <c r="L1289"/>
      <c r="M1289"/>
      <c r="N1289"/>
      <c r="O1289"/>
      <c r="P1289"/>
      <c r="Q1289"/>
    </row>
    <row r="1290" spans="6:17" x14ac:dyDescent="0.3">
      <c r="F1290"/>
      <c r="G1290"/>
      <c r="H1290"/>
      <c r="I1290"/>
      <c r="J1290"/>
      <c r="K1290"/>
      <c r="L1290"/>
      <c r="M1290"/>
      <c r="N1290"/>
      <c r="O1290"/>
      <c r="P1290"/>
      <c r="Q1290"/>
    </row>
    <row r="1291" spans="6:17" x14ac:dyDescent="0.3">
      <c r="F1291"/>
      <c r="G1291"/>
      <c r="H1291"/>
      <c r="I1291"/>
      <c r="J1291"/>
      <c r="K1291"/>
      <c r="L1291"/>
      <c r="M1291"/>
      <c r="N1291"/>
      <c r="O1291"/>
      <c r="P1291"/>
      <c r="Q1291"/>
    </row>
    <row r="1292" spans="6:17" x14ac:dyDescent="0.3">
      <c r="F1292"/>
      <c r="G1292"/>
      <c r="H1292"/>
      <c r="I1292"/>
      <c r="J1292"/>
      <c r="K1292"/>
      <c r="L1292"/>
      <c r="M1292"/>
      <c r="N1292"/>
      <c r="O1292"/>
      <c r="P1292"/>
      <c r="Q1292"/>
    </row>
    <row r="1293" spans="6:17" x14ac:dyDescent="0.3">
      <c r="F1293"/>
      <c r="G1293"/>
      <c r="H1293"/>
      <c r="I1293"/>
      <c r="J1293"/>
      <c r="K1293"/>
      <c r="L1293"/>
      <c r="M1293"/>
      <c r="N1293"/>
      <c r="O1293"/>
      <c r="P1293"/>
      <c r="Q1293"/>
    </row>
    <row r="1294" spans="6:17" x14ac:dyDescent="0.3">
      <c r="F1294"/>
      <c r="G1294"/>
      <c r="H1294"/>
      <c r="I1294"/>
      <c r="J1294"/>
      <c r="K1294"/>
      <c r="L1294"/>
      <c r="M1294"/>
      <c r="N1294"/>
      <c r="O1294"/>
      <c r="P1294"/>
      <c r="Q1294"/>
    </row>
    <row r="1295" spans="6:17" x14ac:dyDescent="0.3">
      <c r="F1295"/>
      <c r="G1295"/>
      <c r="H1295"/>
      <c r="I1295"/>
      <c r="J1295"/>
      <c r="K1295"/>
      <c r="L1295"/>
      <c r="M1295"/>
      <c r="N1295"/>
      <c r="O1295"/>
      <c r="P1295"/>
      <c r="Q1295"/>
    </row>
    <row r="1296" spans="6:17" x14ac:dyDescent="0.3">
      <c r="F1296"/>
      <c r="G1296"/>
      <c r="H1296"/>
      <c r="I1296"/>
      <c r="J1296"/>
      <c r="K1296"/>
      <c r="L1296"/>
      <c r="M1296"/>
      <c r="N1296"/>
      <c r="O1296"/>
      <c r="P1296"/>
      <c r="Q1296"/>
    </row>
    <row r="1297" spans="6:17" x14ac:dyDescent="0.3">
      <c r="F1297"/>
      <c r="G1297"/>
      <c r="H1297"/>
      <c r="I1297"/>
      <c r="J1297"/>
      <c r="K1297"/>
      <c r="L1297"/>
      <c r="M1297"/>
      <c r="N1297"/>
      <c r="O1297"/>
      <c r="P1297"/>
      <c r="Q1297"/>
    </row>
    <row r="1298" spans="6:17" x14ac:dyDescent="0.3">
      <c r="F1298"/>
      <c r="G1298"/>
      <c r="H1298"/>
      <c r="I1298"/>
      <c r="J1298"/>
      <c r="K1298"/>
      <c r="L1298"/>
      <c r="M1298"/>
      <c r="N1298"/>
      <c r="O1298"/>
      <c r="P1298"/>
      <c r="Q1298"/>
    </row>
    <row r="1299" spans="6:17" x14ac:dyDescent="0.3">
      <c r="F1299"/>
      <c r="G1299"/>
      <c r="H1299"/>
      <c r="I1299"/>
      <c r="J1299"/>
      <c r="K1299"/>
      <c r="L1299"/>
      <c r="M1299"/>
      <c r="N1299"/>
      <c r="O1299"/>
      <c r="P1299"/>
      <c r="Q1299"/>
    </row>
    <row r="1300" spans="6:17" x14ac:dyDescent="0.3">
      <c r="F1300"/>
      <c r="G1300"/>
      <c r="H1300"/>
      <c r="I1300"/>
      <c r="J1300"/>
      <c r="K1300"/>
      <c r="L1300"/>
      <c r="M1300"/>
      <c r="N1300"/>
      <c r="O1300"/>
      <c r="P1300"/>
      <c r="Q1300"/>
    </row>
    <row r="1301" spans="6:17" x14ac:dyDescent="0.3">
      <c r="F1301"/>
      <c r="G1301"/>
      <c r="H1301"/>
      <c r="I1301"/>
      <c r="J1301"/>
      <c r="K1301"/>
      <c r="L1301"/>
      <c r="M1301"/>
      <c r="N1301"/>
      <c r="O1301"/>
      <c r="P1301"/>
      <c r="Q1301"/>
    </row>
    <row r="1302" spans="6:17" x14ac:dyDescent="0.3">
      <c r="F1302"/>
      <c r="G1302"/>
      <c r="H1302"/>
      <c r="I1302"/>
      <c r="J1302"/>
      <c r="K1302"/>
      <c r="L1302"/>
      <c r="M1302"/>
      <c r="N1302"/>
      <c r="O1302"/>
      <c r="P1302"/>
      <c r="Q1302"/>
    </row>
    <row r="1303" spans="6:17" x14ac:dyDescent="0.3">
      <c r="F1303"/>
      <c r="G1303"/>
      <c r="H1303"/>
      <c r="I1303"/>
      <c r="J1303"/>
      <c r="K1303"/>
      <c r="L1303"/>
      <c r="M1303"/>
      <c r="N1303"/>
      <c r="O1303"/>
      <c r="P1303"/>
      <c r="Q1303"/>
    </row>
    <row r="1304" spans="6:17" x14ac:dyDescent="0.3">
      <c r="F1304"/>
      <c r="G1304"/>
      <c r="H1304"/>
      <c r="I1304"/>
      <c r="J1304"/>
      <c r="K1304"/>
      <c r="L1304"/>
      <c r="M1304"/>
      <c r="N1304"/>
      <c r="O1304"/>
      <c r="P1304"/>
      <c r="Q1304"/>
    </row>
    <row r="1305" spans="6:17" x14ac:dyDescent="0.3">
      <c r="F1305"/>
      <c r="G1305"/>
      <c r="H1305"/>
      <c r="I1305"/>
      <c r="J1305"/>
      <c r="K1305"/>
      <c r="L1305"/>
      <c r="M1305"/>
      <c r="N1305"/>
      <c r="O1305"/>
      <c r="P1305"/>
      <c r="Q1305"/>
    </row>
    <row r="1306" spans="6:17" x14ac:dyDescent="0.3">
      <c r="F1306"/>
      <c r="G1306"/>
      <c r="H1306"/>
      <c r="I1306"/>
      <c r="J1306"/>
      <c r="K1306"/>
      <c r="L1306"/>
      <c r="M1306"/>
      <c r="N1306"/>
      <c r="O1306"/>
      <c r="P1306"/>
      <c r="Q1306"/>
    </row>
    <row r="1307" spans="6:17" x14ac:dyDescent="0.3">
      <c r="F1307"/>
      <c r="G1307"/>
      <c r="H1307"/>
      <c r="I1307"/>
      <c r="J1307"/>
      <c r="K1307"/>
      <c r="L1307"/>
      <c r="M1307"/>
      <c r="N1307"/>
      <c r="O1307"/>
      <c r="P1307"/>
      <c r="Q1307"/>
    </row>
    <row r="1308" spans="6:17" x14ac:dyDescent="0.3">
      <c r="F1308"/>
      <c r="G1308"/>
      <c r="H1308"/>
      <c r="I1308"/>
      <c r="J1308"/>
      <c r="K1308"/>
      <c r="L1308"/>
      <c r="M1308"/>
      <c r="N1308"/>
      <c r="O1308"/>
      <c r="P1308"/>
      <c r="Q1308"/>
    </row>
    <row r="1309" spans="6:17" x14ac:dyDescent="0.3">
      <c r="F1309"/>
      <c r="G1309"/>
      <c r="H1309"/>
      <c r="I1309"/>
      <c r="J1309"/>
      <c r="K1309"/>
      <c r="L1309"/>
      <c r="M1309"/>
      <c r="N1309"/>
      <c r="O1309"/>
      <c r="P1309"/>
      <c r="Q1309"/>
    </row>
    <row r="1310" spans="6:17" x14ac:dyDescent="0.3">
      <c r="F1310"/>
      <c r="G1310"/>
      <c r="H1310"/>
      <c r="I1310"/>
      <c r="J1310"/>
      <c r="K1310"/>
      <c r="L1310"/>
      <c r="M1310"/>
      <c r="N1310"/>
      <c r="O1310"/>
      <c r="P1310"/>
      <c r="Q1310"/>
    </row>
    <row r="1311" spans="6:17" x14ac:dyDescent="0.3">
      <c r="F1311"/>
      <c r="G1311"/>
      <c r="H1311"/>
      <c r="I1311"/>
      <c r="J1311"/>
      <c r="K1311"/>
      <c r="L1311"/>
      <c r="M1311"/>
      <c r="N1311"/>
      <c r="O1311"/>
      <c r="P1311"/>
      <c r="Q1311"/>
    </row>
    <row r="1312" spans="6:17" x14ac:dyDescent="0.3">
      <c r="F1312"/>
      <c r="G1312"/>
      <c r="H1312"/>
      <c r="I1312"/>
      <c r="J1312"/>
      <c r="K1312"/>
      <c r="L1312"/>
      <c r="M1312"/>
      <c r="N1312"/>
      <c r="O1312"/>
      <c r="P1312"/>
      <c r="Q1312"/>
    </row>
    <row r="1313" spans="6:17" x14ac:dyDescent="0.3">
      <c r="F1313"/>
      <c r="G1313"/>
      <c r="H1313"/>
      <c r="I1313"/>
      <c r="J1313"/>
      <c r="K1313"/>
      <c r="L1313"/>
      <c r="M1313"/>
      <c r="N1313"/>
      <c r="O1313"/>
      <c r="P1313"/>
      <c r="Q1313"/>
    </row>
    <row r="1314" spans="6:17" x14ac:dyDescent="0.3">
      <c r="F1314"/>
      <c r="G1314"/>
      <c r="H1314"/>
      <c r="I1314"/>
      <c r="J1314"/>
      <c r="K1314"/>
      <c r="L1314"/>
      <c r="M1314"/>
      <c r="N1314"/>
      <c r="O1314"/>
      <c r="P1314"/>
      <c r="Q1314"/>
    </row>
    <row r="1315" spans="6:17" x14ac:dyDescent="0.3">
      <c r="F1315"/>
      <c r="G1315"/>
      <c r="H1315"/>
      <c r="I1315"/>
      <c r="J1315"/>
      <c r="K1315"/>
      <c r="L1315"/>
      <c r="M1315"/>
      <c r="N1315"/>
      <c r="O1315"/>
      <c r="P1315"/>
      <c r="Q1315"/>
    </row>
    <row r="1316" spans="6:17" x14ac:dyDescent="0.3">
      <c r="F1316"/>
      <c r="G1316"/>
      <c r="H1316"/>
      <c r="I1316"/>
      <c r="J1316"/>
      <c r="K1316"/>
      <c r="L1316"/>
      <c r="M1316"/>
      <c r="N1316"/>
      <c r="O1316"/>
      <c r="P1316"/>
      <c r="Q1316"/>
    </row>
    <row r="1317" spans="6:17" x14ac:dyDescent="0.3">
      <c r="F1317"/>
      <c r="G1317"/>
      <c r="H1317"/>
      <c r="I1317"/>
      <c r="J1317"/>
      <c r="K1317"/>
      <c r="L1317"/>
      <c r="M1317"/>
      <c r="N1317"/>
      <c r="O1317"/>
      <c r="P1317"/>
      <c r="Q1317"/>
    </row>
    <row r="1318" spans="6:17" x14ac:dyDescent="0.3">
      <c r="F1318"/>
      <c r="G1318"/>
      <c r="H1318"/>
      <c r="I1318"/>
      <c r="J1318"/>
      <c r="K1318"/>
      <c r="L1318"/>
      <c r="M1318"/>
      <c r="N1318"/>
      <c r="O1318"/>
      <c r="P1318"/>
      <c r="Q1318"/>
    </row>
    <row r="1319" spans="6:17" x14ac:dyDescent="0.3">
      <c r="F1319"/>
      <c r="G1319"/>
      <c r="H1319"/>
      <c r="I1319"/>
      <c r="J1319"/>
      <c r="K1319"/>
      <c r="L1319"/>
      <c r="M1319"/>
      <c r="N1319"/>
      <c r="O1319"/>
      <c r="P1319"/>
      <c r="Q1319"/>
    </row>
    <row r="1320" spans="6:17" x14ac:dyDescent="0.3">
      <c r="F1320"/>
      <c r="G1320"/>
      <c r="H1320"/>
      <c r="I1320"/>
      <c r="J1320"/>
      <c r="K1320"/>
      <c r="L1320"/>
      <c r="M1320"/>
      <c r="N1320"/>
      <c r="O1320"/>
      <c r="P1320"/>
      <c r="Q1320"/>
    </row>
    <row r="1321" spans="6:17" x14ac:dyDescent="0.3">
      <c r="F1321"/>
      <c r="G1321"/>
      <c r="H1321"/>
      <c r="I1321"/>
      <c r="J1321"/>
      <c r="K1321"/>
      <c r="L1321"/>
      <c r="M1321"/>
      <c r="N1321"/>
      <c r="O1321"/>
      <c r="P1321"/>
      <c r="Q1321"/>
    </row>
    <row r="1322" spans="6:17" x14ac:dyDescent="0.3">
      <c r="F1322"/>
      <c r="G1322"/>
      <c r="H1322"/>
      <c r="I1322"/>
      <c r="J1322"/>
      <c r="K1322"/>
      <c r="L1322"/>
      <c r="M1322"/>
      <c r="N1322"/>
      <c r="O1322"/>
      <c r="P1322"/>
      <c r="Q1322"/>
    </row>
    <row r="1323" spans="6:17" x14ac:dyDescent="0.3">
      <c r="F1323"/>
      <c r="G1323"/>
      <c r="H1323"/>
      <c r="I1323"/>
      <c r="J1323"/>
      <c r="K1323"/>
      <c r="L1323"/>
      <c r="M1323"/>
      <c r="N1323"/>
      <c r="O1323"/>
      <c r="P1323"/>
      <c r="Q1323"/>
    </row>
    <row r="1324" spans="6:17" x14ac:dyDescent="0.3">
      <c r="F1324"/>
      <c r="G1324"/>
      <c r="H1324"/>
      <c r="I1324"/>
      <c r="J1324"/>
      <c r="K1324"/>
      <c r="L1324"/>
      <c r="M1324"/>
      <c r="N1324"/>
      <c r="O1324"/>
      <c r="P1324"/>
      <c r="Q1324"/>
    </row>
    <row r="1325" spans="6:17" x14ac:dyDescent="0.3">
      <c r="F1325"/>
      <c r="G1325"/>
      <c r="H1325"/>
      <c r="I1325"/>
      <c r="J1325"/>
      <c r="K1325"/>
      <c r="L1325"/>
      <c r="M1325"/>
      <c r="N1325"/>
      <c r="O1325"/>
      <c r="P1325"/>
      <c r="Q1325"/>
    </row>
    <row r="1326" spans="6:17" x14ac:dyDescent="0.3">
      <c r="F1326"/>
      <c r="G1326"/>
      <c r="H1326"/>
      <c r="I1326"/>
      <c r="J1326"/>
      <c r="K1326"/>
      <c r="L1326"/>
      <c r="M1326"/>
      <c r="N1326"/>
      <c r="O1326"/>
      <c r="P1326"/>
      <c r="Q1326"/>
    </row>
    <row r="1327" spans="6:17" x14ac:dyDescent="0.3">
      <c r="F1327"/>
      <c r="G1327"/>
      <c r="H1327"/>
      <c r="I1327"/>
      <c r="J1327"/>
      <c r="K1327"/>
      <c r="L1327"/>
      <c r="M1327"/>
      <c r="N1327"/>
      <c r="O1327"/>
      <c r="P1327"/>
      <c r="Q1327"/>
    </row>
    <row r="1328" spans="6:17" x14ac:dyDescent="0.3">
      <c r="F1328"/>
      <c r="G1328"/>
      <c r="H1328"/>
      <c r="I1328"/>
      <c r="J1328"/>
      <c r="K1328"/>
      <c r="L1328"/>
      <c r="M1328"/>
      <c r="N1328"/>
      <c r="O1328"/>
      <c r="P1328"/>
      <c r="Q1328"/>
    </row>
    <row r="1329" spans="6:17" x14ac:dyDescent="0.3">
      <c r="F1329"/>
      <c r="G1329"/>
      <c r="H1329"/>
      <c r="I1329"/>
      <c r="J1329"/>
      <c r="K1329"/>
      <c r="L1329"/>
      <c r="M1329"/>
      <c r="N1329"/>
      <c r="O1329"/>
      <c r="P1329"/>
      <c r="Q1329"/>
    </row>
    <row r="1330" spans="6:17" x14ac:dyDescent="0.3">
      <c r="F1330"/>
      <c r="G1330"/>
      <c r="H1330"/>
      <c r="I1330"/>
      <c r="J1330"/>
      <c r="K1330"/>
      <c r="L1330"/>
      <c r="M1330"/>
      <c r="N1330"/>
      <c r="O1330"/>
      <c r="P1330"/>
      <c r="Q1330"/>
    </row>
    <row r="1331" spans="6:17" x14ac:dyDescent="0.3">
      <c r="F1331"/>
      <c r="G1331"/>
      <c r="H1331"/>
      <c r="I1331"/>
      <c r="J1331"/>
      <c r="K1331"/>
      <c r="L1331"/>
      <c r="M1331"/>
      <c r="N1331"/>
      <c r="O1331"/>
      <c r="P1331"/>
      <c r="Q1331"/>
    </row>
    <row r="1332" spans="6:17" x14ac:dyDescent="0.3">
      <c r="F1332"/>
      <c r="G1332"/>
      <c r="H1332"/>
      <c r="I1332"/>
      <c r="J1332"/>
      <c r="K1332"/>
      <c r="L1332"/>
      <c r="M1332"/>
      <c r="N1332"/>
      <c r="O1332"/>
      <c r="P1332"/>
      <c r="Q1332"/>
    </row>
    <row r="1333" spans="6:17" x14ac:dyDescent="0.3">
      <c r="F1333"/>
      <c r="G1333"/>
      <c r="H1333"/>
      <c r="I1333"/>
      <c r="J1333"/>
      <c r="K1333"/>
      <c r="L1333"/>
      <c r="M1333"/>
      <c r="N1333"/>
      <c r="O1333"/>
      <c r="P1333"/>
      <c r="Q1333"/>
    </row>
    <row r="1334" spans="6:17" x14ac:dyDescent="0.3">
      <c r="F1334"/>
      <c r="G1334"/>
      <c r="H1334"/>
      <c r="I1334"/>
      <c r="J1334"/>
      <c r="K1334"/>
      <c r="L1334"/>
      <c r="M1334"/>
      <c r="N1334"/>
      <c r="O1334"/>
      <c r="P1334"/>
      <c r="Q1334"/>
    </row>
    <row r="1335" spans="6:17" x14ac:dyDescent="0.3">
      <c r="F1335"/>
      <c r="G1335"/>
      <c r="H1335"/>
      <c r="I1335"/>
      <c r="J1335"/>
      <c r="K1335"/>
      <c r="L1335"/>
      <c r="M1335"/>
      <c r="N1335"/>
      <c r="O1335"/>
      <c r="P1335"/>
      <c r="Q1335"/>
    </row>
    <row r="1336" spans="6:17" x14ac:dyDescent="0.3">
      <c r="F1336"/>
      <c r="G1336"/>
      <c r="H1336"/>
      <c r="I1336"/>
      <c r="J1336"/>
      <c r="K1336"/>
      <c r="L1336"/>
      <c r="M1336"/>
      <c r="N1336"/>
      <c r="O1336"/>
      <c r="P1336"/>
      <c r="Q1336"/>
    </row>
    <row r="1337" spans="6:17" x14ac:dyDescent="0.3">
      <c r="F1337"/>
      <c r="G1337"/>
      <c r="H1337"/>
      <c r="I1337"/>
      <c r="J1337"/>
      <c r="K1337"/>
      <c r="L1337"/>
      <c r="M1337"/>
      <c r="N1337"/>
      <c r="O1337"/>
      <c r="P1337"/>
      <c r="Q1337"/>
    </row>
    <row r="1338" spans="6:17" x14ac:dyDescent="0.3">
      <c r="F1338"/>
      <c r="G1338"/>
      <c r="H1338"/>
      <c r="I1338"/>
      <c r="J1338"/>
      <c r="K1338"/>
      <c r="L1338"/>
      <c r="M1338"/>
      <c r="N1338"/>
      <c r="O1338"/>
      <c r="P1338"/>
      <c r="Q1338"/>
    </row>
    <row r="1339" spans="6:17" x14ac:dyDescent="0.3">
      <c r="F1339"/>
      <c r="G1339"/>
      <c r="H1339"/>
      <c r="I1339"/>
      <c r="J1339"/>
      <c r="K1339"/>
      <c r="L1339"/>
      <c r="M1339"/>
      <c r="N1339"/>
      <c r="O1339"/>
      <c r="P1339"/>
      <c r="Q1339"/>
    </row>
    <row r="1340" spans="6:17" x14ac:dyDescent="0.3">
      <c r="F1340"/>
      <c r="G1340"/>
      <c r="H1340"/>
      <c r="I1340"/>
      <c r="J1340"/>
      <c r="K1340"/>
      <c r="L1340"/>
      <c r="M1340"/>
      <c r="N1340"/>
      <c r="O1340"/>
      <c r="P1340"/>
      <c r="Q1340"/>
    </row>
    <row r="1341" spans="6:17" x14ac:dyDescent="0.3">
      <c r="F1341"/>
      <c r="G1341"/>
      <c r="H1341"/>
      <c r="I1341"/>
      <c r="J1341"/>
      <c r="K1341"/>
      <c r="L1341"/>
      <c r="M1341"/>
      <c r="N1341"/>
      <c r="O1341"/>
      <c r="P1341"/>
      <c r="Q1341"/>
    </row>
    <row r="1342" spans="6:17" x14ac:dyDescent="0.3">
      <c r="F1342"/>
      <c r="G1342"/>
      <c r="H1342"/>
      <c r="I1342"/>
      <c r="J1342"/>
      <c r="K1342"/>
      <c r="L1342"/>
      <c r="M1342"/>
      <c r="N1342"/>
      <c r="O1342"/>
      <c r="P1342"/>
      <c r="Q1342"/>
    </row>
    <row r="1343" spans="6:17" x14ac:dyDescent="0.3">
      <c r="F1343"/>
      <c r="G1343"/>
      <c r="H1343"/>
      <c r="I1343"/>
      <c r="J1343"/>
      <c r="K1343"/>
      <c r="L1343"/>
      <c r="M1343"/>
      <c r="N1343"/>
      <c r="O1343"/>
      <c r="P1343"/>
      <c r="Q1343"/>
    </row>
    <row r="1344" spans="6:17" x14ac:dyDescent="0.3">
      <c r="F1344"/>
      <c r="G1344"/>
      <c r="H1344"/>
      <c r="I1344"/>
      <c r="J1344"/>
      <c r="K1344"/>
      <c r="L1344"/>
      <c r="M1344"/>
      <c r="N1344"/>
      <c r="O1344"/>
      <c r="P1344"/>
      <c r="Q1344"/>
    </row>
    <row r="1345" spans="6:17" x14ac:dyDescent="0.3">
      <c r="F1345"/>
      <c r="G1345"/>
      <c r="H1345"/>
      <c r="I1345"/>
      <c r="J1345"/>
      <c r="K1345"/>
      <c r="L1345"/>
      <c r="M1345"/>
      <c r="N1345"/>
      <c r="O1345"/>
      <c r="P1345"/>
      <c r="Q1345"/>
    </row>
    <row r="1346" spans="6:17" x14ac:dyDescent="0.3">
      <c r="F1346"/>
      <c r="G1346"/>
      <c r="H1346"/>
      <c r="I1346"/>
      <c r="J1346"/>
      <c r="K1346"/>
      <c r="L1346"/>
      <c r="M1346"/>
      <c r="N1346"/>
      <c r="O1346"/>
      <c r="P1346"/>
      <c r="Q1346"/>
    </row>
    <row r="1347" spans="6:17" x14ac:dyDescent="0.3">
      <c r="F1347"/>
      <c r="G1347"/>
      <c r="H1347"/>
      <c r="I1347"/>
      <c r="J1347"/>
      <c r="K1347"/>
      <c r="L1347"/>
      <c r="M1347"/>
      <c r="N1347"/>
      <c r="O1347"/>
      <c r="P1347"/>
      <c r="Q1347"/>
    </row>
    <row r="1348" spans="6:17" x14ac:dyDescent="0.3">
      <c r="F1348"/>
      <c r="G1348"/>
      <c r="H1348"/>
      <c r="I1348"/>
      <c r="J1348"/>
      <c r="K1348"/>
      <c r="L1348"/>
      <c r="M1348"/>
      <c r="N1348"/>
      <c r="O1348"/>
      <c r="P1348"/>
      <c r="Q1348"/>
    </row>
    <row r="1349" spans="6:17" x14ac:dyDescent="0.3">
      <c r="F1349"/>
      <c r="G1349"/>
      <c r="H1349"/>
      <c r="I1349"/>
      <c r="J1349"/>
      <c r="K1349"/>
      <c r="L1349"/>
      <c r="M1349"/>
      <c r="N1349"/>
      <c r="O1349"/>
      <c r="P1349"/>
      <c r="Q1349"/>
    </row>
    <row r="1350" spans="6:17" x14ac:dyDescent="0.3">
      <c r="F1350"/>
      <c r="G1350"/>
      <c r="H1350"/>
      <c r="I1350"/>
      <c r="J1350"/>
      <c r="K1350"/>
      <c r="L1350"/>
      <c r="M1350"/>
      <c r="N1350"/>
      <c r="O1350"/>
      <c r="P1350"/>
      <c r="Q1350"/>
    </row>
    <row r="1351" spans="6:17" x14ac:dyDescent="0.3">
      <c r="F1351"/>
      <c r="G1351"/>
      <c r="H1351"/>
      <c r="I1351"/>
      <c r="J1351"/>
      <c r="K1351"/>
      <c r="L1351"/>
      <c r="M1351"/>
      <c r="N1351"/>
      <c r="O1351"/>
      <c r="P1351"/>
      <c r="Q1351"/>
    </row>
    <row r="1352" spans="6:17" x14ac:dyDescent="0.3">
      <c r="F1352"/>
      <c r="G1352"/>
      <c r="H1352"/>
      <c r="I1352"/>
      <c r="J1352"/>
      <c r="K1352"/>
      <c r="L1352"/>
      <c r="M1352"/>
      <c r="N1352"/>
      <c r="O1352"/>
      <c r="P1352"/>
      <c r="Q1352"/>
    </row>
    <row r="1353" spans="6:17" x14ac:dyDescent="0.3">
      <c r="F1353"/>
      <c r="G1353"/>
      <c r="H1353"/>
      <c r="I1353"/>
      <c r="J1353"/>
      <c r="K1353"/>
      <c r="L1353"/>
      <c r="M1353"/>
      <c r="N1353"/>
      <c r="O1353"/>
      <c r="P1353"/>
      <c r="Q1353"/>
    </row>
    <row r="1354" spans="6:17" x14ac:dyDescent="0.3">
      <c r="F1354"/>
      <c r="G1354"/>
      <c r="H1354"/>
      <c r="I1354"/>
      <c r="J1354"/>
      <c r="K1354"/>
      <c r="L1354"/>
      <c r="M1354"/>
      <c r="N1354"/>
      <c r="O1354"/>
      <c r="P1354"/>
      <c r="Q1354"/>
    </row>
    <row r="1355" spans="6:17" x14ac:dyDescent="0.3">
      <c r="F1355"/>
      <c r="G1355"/>
      <c r="H1355"/>
      <c r="I1355"/>
      <c r="J1355"/>
      <c r="K1355"/>
      <c r="L1355"/>
      <c r="M1355"/>
      <c r="N1355"/>
      <c r="O1355"/>
      <c r="P1355"/>
      <c r="Q1355"/>
    </row>
    <row r="1356" spans="6:17" x14ac:dyDescent="0.3">
      <c r="F1356"/>
      <c r="G1356"/>
      <c r="H1356"/>
      <c r="I1356"/>
      <c r="J1356"/>
      <c r="K1356"/>
      <c r="L1356"/>
      <c r="M1356"/>
      <c r="N1356"/>
      <c r="O1356"/>
      <c r="P1356"/>
      <c r="Q1356"/>
    </row>
    <row r="1357" spans="6:17" x14ac:dyDescent="0.3">
      <c r="F1357"/>
      <c r="G1357"/>
      <c r="H1357"/>
      <c r="I1357"/>
      <c r="J1357"/>
      <c r="K1357"/>
      <c r="L1357"/>
      <c r="M1357"/>
      <c r="N1357"/>
      <c r="O1357"/>
      <c r="P1357"/>
      <c r="Q1357"/>
    </row>
    <row r="1358" spans="6:17" x14ac:dyDescent="0.3">
      <c r="F1358"/>
      <c r="G1358"/>
      <c r="H1358"/>
      <c r="I1358"/>
      <c r="J1358"/>
      <c r="K1358"/>
      <c r="L1358"/>
      <c r="M1358"/>
      <c r="N1358"/>
      <c r="O1358"/>
      <c r="P1358"/>
      <c r="Q1358"/>
    </row>
    <row r="1359" spans="6:17" x14ac:dyDescent="0.3">
      <c r="F1359"/>
      <c r="G1359"/>
      <c r="H1359"/>
      <c r="I1359"/>
      <c r="J1359"/>
      <c r="K1359"/>
      <c r="L1359"/>
      <c r="M1359"/>
      <c r="N1359"/>
      <c r="O1359"/>
      <c r="P1359"/>
      <c r="Q1359"/>
    </row>
    <row r="1360" spans="6:17" x14ac:dyDescent="0.3">
      <c r="F1360"/>
      <c r="G1360"/>
      <c r="H1360"/>
      <c r="I1360"/>
      <c r="J1360"/>
      <c r="K1360"/>
      <c r="L1360"/>
      <c r="M1360"/>
      <c r="N1360"/>
      <c r="O1360"/>
      <c r="P1360"/>
      <c r="Q1360"/>
    </row>
    <row r="1361" spans="6:17" x14ac:dyDescent="0.3">
      <c r="F1361"/>
      <c r="G1361"/>
      <c r="H1361"/>
      <c r="I1361"/>
      <c r="J1361"/>
      <c r="K1361"/>
      <c r="L1361"/>
      <c r="M1361"/>
      <c r="N1361"/>
      <c r="O1361"/>
      <c r="P1361"/>
      <c r="Q1361"/>
    </row>
    <row r="1362" spans="6:17" x14ac:dyDescent="0.3">
      <c r="F1362"/>
      <c r="G1362"/>
      <c r="H1362"/>
      <c r="I1362"/>
      <c r="J1362"/>
      <c r="K1362"/>
      <c r="L1362"/>
      <c r="M1362"/>
      <c r="N1362"/>
      <c r="O1362"/>
      <c r="P1362"/>
      <c r="Q1362"/>
    </row>
    <row r="1363" spans="6:17" x14ac:dyDescent="0.3">
      <c r="F1363"/>
      <c r="G1363"/>
      <c r="H1363"/>
      <c r="I1363"/>
      <c r="J1363"/>
      <c r="K1363"/>
      <c r="L1363"/>
      <c r="M1363"/>
      <c r="N1363"/>
      <c r="O1363"/>
      <c r="P1363"/>
      <c r="Q1363"/>
    </row>
    <row r="1364" spans="6:17" x14ac:dyDescent="0.3">
      <c r="F1364"/>
      <c r="G1364"/>
      <c r="H1364"/>
      <c r="I1364"/>
      <c r="J1364"/>
      <c r="K1364"/>
      <c r="L1364"/>
      <c r="M1364"/>
      <c r="N1364"/>
      <c r="O1364"/>
      <c r="P1364"/>
      <c r="Q1364"/>
    </row>
    <row r="1365" spans="6:17" x14ac:dyDescent="0.3">
      <c r="F1365"/>
      <c r="G1365"/>
      <c r="H1365"/>
      <c r="I1365"/>
      <c r="J1365"/>
      <c r="K1365"/>
      <c r="L1365"/>
      <c r="M1365"/>
      <c r="N1365"/>
      <c r="O1365"/>
      <c r="P1365"/>
      <c r="Q1365"/>
    </row>
    <row r="1366" spans="6:17" x14ac:dyDescent="0.3">
      <c r="F1366"/>
      <c r="G1366"/>
      <c r="H1366"/>
      <c r="I1366"/>
      <c r="J1366"/>
      <c r="K1366"/>
      <c r="L1366"/>
      <c r="M1366"/>
      <c r="N1366"/>
      <c r="O1366"/>
      <c r="P1366"/>
      <c r="Q1366"/>
    </row>
    <row r="1367" spans="6:17" x14ac:dyDescent="0.3">
      <c r="F1367"/>
      <c r="G1367"/>
      <c r="H1367"/>
      <c r="I1367"/>
      <c r="J1367"/>
      <c r="K1367"/>
      <c r="L1367"/>
      <c r="M1367"/>
      <c r="N1367"/>
      <c r="O1367"/>
      <c r="P1367"/>
      <c r="Q1367"/>
    </row>
    <row r="1368" spans="6:17" x14ac:dyDescent="0.3">
      <c r="F1368"/>
      <c r="G1368"/>
      <c r="H1368"/>
      <c r="I1368"/>
      <c r="J1368"/>
      <c r="K1368"/>
      <c r="L1368"/>
      <c r="M1368"/>
      <c r="N1368"/>
      <c r="O1368"/>
      <c r="P1368"/>
      <c r="Q1368"/>
    </row>
    <row r="1369" spans="6:17" x14ac:dyDescent="0.3">
      <c r="F1369"/>
      <c r="G1369"/>
      <c r="H1369"/>
      <c r="I1369"/>
      <c r="J1369"/>
      <c r="K1369"/>
      <c r="L1369"/>
      <c r="M1369"/>
      <c r="N1369"/>
      <c r="O1369"/>
      <c r="P1369"/>
      <c r="Q1369"/>
    </row>
    <row r="1370" spans="6:17" x14ac:dyDescent="0.3">
      <c r="F1370"/>
      <c r="G1370"/>
      <c r="H1370"/>
      <c r="I1370"/>
      <c r="J1370"/>
      <c r="K1370"/>
      <c r="L1370"/>
      <c r="M1370"/>
      <c r="N1370"/>
      <c r="O1370"/>
      <c r="P1370"/>
      <c r="Q1370"/>
    </row>
    <row r="1371" spans="6:17" x14ac:dyDescent="0.3">
      <c r="F1371"/>
      <c r="G1371"/>
      <c r="H1371"/>
      <c r="I1371"/>
      <c r="J1371"/>
      <c r="K1371"/>
      <c r="L1371"/>
      <c r="M1371"/>
      <c r="N1371"/>
      <c r="O1371"/>
      <c r="P1371"/>
      <c r="Q1371"/>
    </row>
    <row r="1372" spans="6:17" x14ac:dyDescent="0.3">
      <c r="F1372"/>
      <c r="G1372"/>
      <c r="H1372"/>
      <c r="I1372"/>
      <c r="J1372"/>
      <c r="K1372"/>
      <c r="L1372"/>
      <c r="M1372"/>
      <c r="N1372"/>
      <c r="O1372"/>
      <c r="P1372"/>
      <c r="Q1372"/>
    </row>
    <row r="1373" spans="6:17" x14ac:dyDescent="0.3">
      <c r="F1373"/>
      <c r="G1373"/>
      <c r="H1373"/>
      <c r="I1373"/>
      <c r="J1373"/>
      <c r="K1373"/>
      <c r="L1373"/>
      <c r="M1373"/>
      <c r="N1373"/>
      <c r="O1373"/>
      <c r="P1373"/>
      <c r="Q1373"/>
    </row>
    <row r="1374" spans="6:17" x14ac:dyDescent="0.3">
      <c r="F1374"/>
      <c r="G1374"/>
      <c r="H1374"/>
      <c r="I1374"/>
      <c r="J1374"/>
      <c r="K1374"/>
      <c r="L1374"/>
      <c r="M1374"/>
      <c r="N1374"/>
      <c r="O1374"/>
      <c r="P1374"/>
      <c r="Q1374"/>
    </row>
    <row r="1375" spans="6:17" x14ac:dyDescent="0.3">
      <c r="F1375"/>
      <c r="G1375"/>
      <c r="H1375"/>
      <c r="I1375"/>
      <c r="J1375"/>
      <c r="K1375"/>
      <c r="L1375"/>
      <c r="M1375"/>
      <c r="N1375"/>
      <c r="O1375"/>
      <c r="P1375"/>
      <c r="Q1375"/>
    </row>
    <row r="1376" spans="6:17" x14ac:dyDescent="0.3">
      <c r="F1376"/>
      <c r="G1376"/>
      <c r="H1376"/>
      <c r="I1376"/>
      <c r="J1376"/>
      <c r="K1376"/>
      <c r="L1376"/>
      <c r="M1376"/>
      <c r="N1376"/>
      <c r="O1376"/>
      <c r="P1376"/>
      <c r="Q1376"/>
    </row>
    <row r="1377" spans="6:17" x14ac:dyDescent="0.3">
      <c r="F1377"/>
      <c r="G1377"/>
      <c r="H1377"/>
      <c r="I1377"/>
      <c r="J1377"/>
      <c r="K1377"/>
      <c r="L1377"/>
      <c r="M1377"/>
      <c r="N1377"/>
      <c r="O1377"/>
      <c r="P1377"/>
      <c r="Q1377"/>
    </row>
    <row r="1378" spans="6:17" x14ac:dyDescent="0.3">
      <c r="F1378"/>
      <c r="G1378"/>
      <c r="H1378"/>
      <c r="I1378"/>
      <c r="J1378"/>
      <c r="K1378"/>
      <c r="L1378"/>
      <c r="M1378"/>
      <c r="N1378"/>
      <c r="O1378"/>
      <c r="P1378"/>
      <c r="Q1378"/>
    </row>
    <row r="1379" spans="6:17" x14ac:dyDescent="0.3">
      <c r="F1379"/>
      <c r="G1379"/>
      <c r="H1379"/>
      <c r="I1379"/>
      <c r="J1379"/>
      <c r="K1379"/>
      <c r="L1379"/>
      <c r="M1379"/>
      <c r="N1379"/>
      <c r="O1379"/>
      <c r="P1379"/>
      <c r="Q1379"/>
    </row>
    <row r="1380" spans="6:17" x14ac:dyDescent="0.3">
      <c r="F1380"/>
      <c r="G1380"/>
      <c r="H1380"/>
      <c r="I1380"/>
      <c r="J1380"/>
      <c r="K1380"/>
      <c r="L1380"/>
      <c r="M1380"/>
      <c r="N1380"/>
      <c r="O1380"/>
      <c r="P1380"/>
      <c r="Q1380"/>
    </row>
    <row r="1381" spans="6:17" x14ac:dyDescent="0.3">
      <c r="F1381"/>
      <c r="G1381"/>
      <c r="H1381"/>
      <c r="I1381"/>
      <c r="J1381"/>
      <c r="K1381"/>
      <c r="L1381"/>
      <c r="M1381"/>
      <c r="N1381"/>
      <c r="O1381"/>
      <c r="P1381"/>
      <c r="Q1381"/>
    </row>
    <row r="1382" spans="6:17" x14ac:dyDescent="0.3">
      <c r="F1382"/>
      <c r="G1382"/>
      <c r="H1382"/>
      <c r="I1382"/>
      <c r="J1382"/>
      <c r="K1382"/>
      <c r="L1382"/>
      <c r="M1382"/>
      <c r="N1382"/>
      <c r="O1382"/>
      <c r="P1382"/>
      <c r="Q1382"/>
    </row>
    <row r="1383" spans="6:17" x14ac:dyDescent="0.3">
      <c r="F1383"/>
      <c r="G1383"/>
      <c r="H1383"/>
      <c r="I1383"/>
      <c r="J1383"/>
      <c r="K1383"/>
      <c r="L1383"/>
      <c r="M1383"/>
      <c r="N1383"/>
      <c r="O1383"/>
      <c r="P1383"/>
      <c r="Q1383"/>
    </row>
    <row r="1384" spans="6:17" x14ac:dyDescent="0.3">
      <c r="F1384"/>
      <c r="G1384"/>
      <c r="H1384"/>
      <c r="I1384"/>
      <c r="J1384"/>
      <c r="K1384"/>
      <c r="L1384"/>
      <c r="M1384"/>
      <c r="N1384"/>
      <c r="O1384"/>
      <c r="P1384"/>
      <c r="Q1384"/>
    </row>
    <row r="1385" spans="6:17" x14ac:dyDescent="0.3">
      <c r="F1385"/>
      <c r="G1385"/>
      <c r="H1385"/>
      <c r="I1385"/>
      <c r="J1385"/>
      <c r="K1385"/>
      <c r="L1385"/>
      <c r="M1385"/>
      <c r="N1385"/>
      <c r="O1385"/>
      <c r="P1385"/>
      <c r="Q1385"/>
    </row>
    <row r="1386" spans="6:17" x14ac:dyDescent="0.3">
      <c r="F1386"/>
      <c r="G1386"/>
      <c r="H1386"/>
      <c r="I1386"/>
      <c r="J1386"/>
      <c r="K1386"/>
      <c r="L1386"/>
      <c r="M1386"/>
      <c r="N1386"/>
      <c r="O1386"/>
      <c r="P1386"/>
      <c r="Q1386"/>
    </row>
    <row r="1387" spans="6:17" x14ac:dyDescent="0.3">
      <c r="F1387"/>
      <c r="G1387"/>
      <c r="H1387"/>
      <c r="I1387"/>
      <c r="J1387"/>
      <c r="K1387"/>
      <c r="L1387"/>
      <c r="M1387"/>
      <c r="N1387"/>
      <c r="O1387"/>
      <c r="P1387"/>
      <c r="Q1387"/>
    </row>
    <row r="1388" spans="6:17" x14ac:dyDescent="0.3">
      <c r="F1388"/>
      <c r="G1388"/>
      <c r="H1388"/>
      <c r="I1388"/>
      <c r="J1388"/>
      <c r="K1388"/>
      <c r="L1388"/>
      <c r="M1388"/>
      <c r="N1388"/>
      <c r="O1388"/>
      <c r="P1388"/>
      <c r="Q1388"/>
    </row>
    <row r="1389" spans="6:17" x14ac:dyDescent="0.3">
      <c r="F1389"/>
      <c r="G1389"/>
      <c r="H1389"/>
      <c r="I1389"/>
      <c r="J1389"/>
      <c r="K1389"/>
      <c r="L1389"/>
      <c r="M1389"/>
      <c r="N1389"/>
      <c r="O1389"/>
      <c r="P1389"/>
      <c r="Q1389"/>
    </row>
    <row r="1390" spans="6:17" x14ac:dyDescent="0.3">
      <c r="F1390"/>
      <c r="G1390"/>
      <c r="H1390"/>
      <c r="I1390"/>
      <c r="J1390"/>
      <c r="K1390"/>
      <c r="L1390"/>
      <c r="M1390"/>
      <c r="N1390"/>
      <c r="O1390"/>
      <c r="P1390"/>
      <c r="Q1390"/>
    </row>
    <row r="1391" spans="6:17" x14ac:dyDescent="0.3">
      <c r="F1391"/>
      <c r="G1391"/>
      <c r="H1391"/>
      <c r="I1391"/>
      <c r="J1391"/>
      <c r="K1391"/>
      <c r="L1391"/>
      <c r="M1391"/>
      <c r="N1391"/>
      <c r="O1391"/>
      <c r="P1391"/>
      <c r="Q1391"/>
    </row>
    <row r="1392" spans="6:17" x14ac:dyDescent="0.3">
      <c r="F1392"/>
      <c r="G1392"/>
      <c r="H1392"/>
      <c r="I1392"/>
      <c r="J1392"/>
      <c r="K1392"/>
      <c r="L1392"/>
      <c r="M1392"/>
      <c r="N1392"/>
      <c r="O1392"/>
      <c r="P1392"/>
      <c r="Q1392"/>
    </row>
    <row r="1393" spans="6:17" x14ac:dyDescent="0.3">
      <c r="F1393"/>
      <c r="G1393"/>
      <c r="H1393"/>
      <c r="I1393"/>
      <c r="J1393"/>
      <c r="K1393"/>
      <c r="L1393"/>
      <c r="M1393"/>
      <c r="N1393"/>
      <c r="O1393"/>
      <c r="P1393"/>
      <c r="Q1393"/>
    </row>
    <row r="1394" spans="6:17" x14ac:dyDescent="0.3">
      <c r="F1394"/>
      <c r="G1394"/>
      <c r="H1394"/>
      <c r="I1394"/>
      <c r="J1394"/>
      <c r="K1394"/>
      <c r="L1394"/>
      <c r="M1394"/>
      <c r="N1394"/>
      <c r="O1394"/>
      <c r="P1394"/>
      <c r="Q1394"/>
    </row>
    <row r="1395" spans="6:17" x14ac:dyDescent="0.3">
      <c r="F1395"/>
      <c r="G1395"/>
      <c r="H1395"/>
      <c r="I1395"/>
      <c r="J1395"/>
      <c r="K1395"/>
      <c r="L1395"/>
      <c r="M1395"/>
      <c r="N1395"/>
      <c r="O1395"/>
      <c r="P1395"/>
      <c r="Q1395"/>
    </row>
    <row r="1396" spans="6:17" x14ac:dyDescent="0.3">
      <c r="F1396"/>
      <c r="G1396"/>
      <c r="H1396"/>
      <c r="I1396"/>
      <c r="J1396"/>
      <c r="K1396"/>
      <c r="L1396"/>
      <c r="M1396"/>
      <c r="N1396"/>
      <c r="O1396"/>
      <c r="P1396"/>
      <c r="Q1396"/>
    </row>
    <row r="1397" spans="6:17" x14ac:dyDescent="0.3">
      <c r="F1397"/>
      <c r="G1397"/>
      <c r="H1397"/>
      <c r="I1397"/>
      <c r="J1397"/>
      <c r="K1397"/>
      <c r="L1397"/>
      <c r="M1397"/>
      <c r="N1397"/>
      <c r="O1397"/>
      <c r="P1397"/>
      <c r="Q1397"/>
    </row>
    <row r="1398" spans="6:17" x14ac:dyDescent="0.3">
      <c r="F1398"/>
      <c r="G1398"/>
      <c r="H1398"/>
      <c r="I1398"/>
      <c r="J1398"/>
      <c r="K1398"/>
      <c r="L1398"/>
      <c r="M1398"/>
      <c r="N1398"/>
      <c r="O1398"/>
      <c r="P1398"/>
      <c r="Q1398"/>
    </row>
    <row r="1399" spans="6:17" x14ac:dyDescent="0.3">
      <c r="F1399"/>
      <c r="G1399"/>
      <c r="H1399"/>
      <c r="I1399"/>
      <c r="J1399"/>
      <c r="K1399"/>
      <c r="L1399"/>
      <c r="M1399"/>
      <c r="N1399"/>
      <c r="O1399"/>
      <c r="P1399"/>
      <c r="Q1399"/>
    </row>
    <row r="1400" spans="6:17" x14ac:dyDescent="0.3">
      <c r="F1400"/>
      <c r="G1400"/>
      <c r="H1400"/>
      <c r="I1400"/>
      <c r="J1400"/>
      <c r="K1400"/>
      <c r="L1400"/>
      <c r="M1400"/>
      <c r="N1400"/>
      <c r="O1400"/>
      <c r="P1400"/>
      <c r="Q1400"/>
    </row>
    <row r="1401" spans="6:17" x14ac:dyDescent="0.3">
      <c r="F1401"/>
      <c r="G1401"/>
      <c r="H1401"/>
      <c r="I1401"/>
      <c r="J1401"/>
      <c r="K1401"/>
      <c r="L1401"/>
      <c r="M1401"/>
      <c r="N1401"/>
      <c r="O1401"/>
      <c r="P1401"/>
      <c r="Q1401"/>
    </row>
    <row r="1402" spans="6:17" x14ac:dyDescent="0.3">
      <c r="F1402"/>
      <c r="G1402"/>
      <c r="H1402"/>
      <c r="I1402"/>
      <c r="J1402"/>
      <c r="K1402"/>
      <c r="L1402"/>
      <c r="M1402"/>
      <c r="N1402"/>
      <c r="O1402"/>
      <c r="P1402"/>
      <c r="Q1402"/>
    </row>
    <row r="1403" spans="6:17" x14ac:dyDescent="0.3">
      <c r="F1403"/>
      <c r="G1403"/>
      <c r="H1403"/>
      <c r="I1403"/>
      <c r="J1403"/>
      <c r="K1403"/>
      <c r="L1403"/>
      <c r="M1403"/>
      <c r="N1403"/>
      <c r="O1403"/>
      <c r="P1403"/>
      <c r="Q1403"/>
    </row>
    <row r="1404" spans="6:17" x14ac:dyDescent="0.3">
      <c r="F1404"/>
      <c r="G1404"/>
      <c r="H1404"/>
      <c r="I1404"/>
      <c r="J1404"/>
      <c r="K1404"/>
      <c r="L1404"/>
      <c r="M1404"/>
      <c r="N1404"/>
      <c r="O1404"/>
      <c r="P1404"/>
      <c r="Q1404"/>
    </row>
    <row r="1405" spans="6:17" x14ac:dyDescent="0.3">
      <c r="F1405"/>
      <c r="G1405"/>
      <c r="H1405"/>
      <c r="I1405"/>
      <c r="J1405"/>
      <c r="K1405"/>
      <c r="L1405"/>
      <c r="M1405"/>
      <c r="N1405"/>
      <c r="O1405"/>
      <c r="P1405"/>
      <c r="Q1405"/>
    </row>
    <row r="1406" spans="6:17" x14ac:dyDescent="0.3">
      <c r="F1406"/>
      <c r="G1406"/>
      <c r="H1406"/>
      <c r="I1406"/>
      <c r="J1406"/>
      <c r="K1406"/>
      <c r="L1406"/>
      <c r="M1406"/>
      <c r="N1406"/>
      <c r="O1406"/>
      <c r="P1406"/>
      <c r="Q1406"/>
    </row>
    <row r="1407" spans="6:17" x14ac:dyDescent="0.3">
      <c r="F1407"/>
      <c r="G1407"/>
      <c r="H1407"/>
      <c r="I1407"/>
      <c r="J1407"/>
      <c r="K1407"/>
      <c r="L1407"/>
      <c r="M1407"/>
      <c r="N1407"/>
      <c r="O1407"/>
      <c r="P1407"/>
      <c r="Q1407"/>
    </row>
    <row r="1408" spans="6:17" x14ac:dyDescent="0.3">
      <c r="F1408"/>
      <c r="G1408"/>
      <c r="H1408"/>
      <c r="I1408"/>
      <c r="J1408"/>
      <c r="K1408"/>
      <c r="L1408"/>
      <c r="M1408"/>
      <c r="N1408"/>
      <c r="O1408"/>
      <c r="P1408"/>
      <c r="Q1408"/>
    </row>
    <row r="1409" spans="6:17" x14ac:dyDescent="0.3">
      <c r="F1409"/>
      <c r="G1409"/>
      <c r="H1409"/>
      <c r="I1409"/>
      <c r="J1409"/>
      <c r="K1409"/>
      <c r="L1409"/>
      <c r="M1409"/>
      <c r="N1409"/>
      <c r="O1409"/>
      <c r="P1409"/>
      <c r="Q1409"/>
    </row>
    <row r="1410" spans="6:17" x14ac:dyDescent="0.3">
      <c r="F1410"/>
      <c r="G1410"/>
      <c r="H1410"/>
      <c r="I1410"/>
      <c r="J1410"/>
      <c r="K1410"/>
      <c r="L1410"/>
      <c r="M1410"/>
      <c r="N1410"/>
      <c r="O1410"/>
      <c r="P1410"/>
      <c r="Q1410"/>
    </row>
    <row r="1411" spans="6:17" x14ac:dyDescent="0.3">
      <c r="F1411"/>
      <c r="G1411"/>
      <c r="H1411"/>
      <c r="I1411"/>
      <c r="J1411"/>
      <c r="K1411"/>
      <c r="L1411"/>
      <c r="M1411"/>
      <c r="N1411"/>
      <c r="O1411"/>
      <c r="P1411"/>
      <c r="Q1411"/>
    </row>
    <row r="1412" spans="6:17" x14ac:dyDescent="0.3">
      <c r="F1412"/>
      <c r="G1412"/>
      <c r="H1412"/>
      <c r="I1412"/>
      <c r="J1412"/>
      <c r="K1412"/>
      <c r="L1412"/>
      <c r="M1412"/>
      <c r="N1412"/>
      <c r="O1412"/>
      <c r="P1412"/>
      <c r="Q1412"/>
    </row>
    <row r="1413" spans="6:17" x14ac:dyDescent="0.3">
      <c r="F1413"/>
      <c r="G1413"/>
      <c r="H1413"/>
      <c r="I1413"/>
      <c r="J1413"/>
      <c r="K1413"/>
      <c r="L1413"/>
      <c r="M1413"/>
      <c r="N1413"/>
      <c r="O1413"/>
      <c r="P1413"/>
      <c r="Q1413"/>
    </row>
    <row r="1414" spans="6:17" x14ac:dyDescent="0.3">
      <c r="F1414"/>
      <c r="G1414"/>
      <c r="H1414"/>
      <c r="I1414"/>
      <c r="J1414"/>
      <c r="K1414"/>
      <c r="L1414"/>
      <c r="M1414"/>
      <c r="N1414"/>
      <c r="O1414"/>
      <c r="P1414"/>
      <c r="Q1414"/>
    </row>
    <row r="1415" spans="6:17" x14ac:dyDescent="0.3">
      <c r="F1415"/>
      <c r="G1415"/>
      <c r="H1415"/>
      <c r="I1415"/>
      <c r="J1415"/>
      <c r="K1415"/>
      <c r="L1415"/>
      <c r="M1415"/>
      <c r="N1415"/>
      <c r="O1415"/>
      <c r="P1415"/>
      <c r="Q1415"/>
    </row>
    <row r="1416" spans="6:17" x14ac:dyDescent="0.3">
      <c r="F1416"/>
      <c r="G1416"/>
      <c r="H1416"/>
      <c r="I1416"/>
      <c r="J1416"/>
      <c r="K1416"/>
      <c r="L1416"/>
      <c r="M1416"/>
      <c r="N1416"/>
      <c r="O1416"/>
      <c r="P1416"/>
      <c r="Q1416"/>
    </row>
    <row r="1417" spans="6:17" x14ac:dyDescent="0.3">
      <c r="F1417"/>
      <c r="G1417"/>
      <c r="H1417"/>
      <c r="I1417"/>
      <c r="J1417"/>
      <c r="K1417"/>
      <c r="L1417"/>
      <c r="M1417"/>
      <c r="N1417"/>
      <c r="O1417"/>
      <c r="P1417"/>
      <c r="Q1417"/>
    </row>
    <row r="1418" spans="6:17" x14ac:dyDescent="0.3">
      <c r="F1418"/>
      <c r="G1418"/>
      <c r="H1418"/>
      <c r="I1418"/>
      <c r="J1418"/>
      <c r="K1418"/>
      <c r="L1418"/>
      <c r="M1418"/>
      <c r="N1418"/>
      <c r="O1418"/>
      <c r="P1418"/>
      <c r="Q1418"/>
    </row>
    <row r="1419" spans="6:17" x14ac:dyDescent="0.3">
      <c r="F1419"/>
      <c r="G1419"/>
      <c r="H1419"/>
      <c r="I1419"/>
      <c r="J1419"/>
      <c r="K1419"/>
      <c r="L1419"/>
      <c r="M1419"/>
      <c r="N1419"/>
      <c r="O1419"/>
      <c r="P1419"/>
      <c r="Q1419"/>
    </row>
    <row r="1420" spans="6:17" x14ac:dyDescent="0.3">
      <c r="F1420"/>
      <c r="G1420"/>
      <c r="H1420"/>
      <c r="I1420"/>
      <c r="J1420"/>
      <c r="K1420"/>
      <c r="L1420"/>
      <c r="M1420"/>
      <c r="N1420"/>
      <c r="O1420"/>
      <c r="P1420"/>
      <c r="Q1420"/>
    </row>
    <row r="1421" spans="6:17" x14ac:dyDescent="0.3">
      <c r="F1421"/>
      <c r="G1421"/>
      <c r="H1421"/>
      <c r="I1421"/>
      <c r="J1421"/>
      <c r="K1421"/>
      <c r="L1421"/>
      <c r="M1421"/>
      <c r="N1421"/>
      <c r="O1421"/>
      <c r="P1421"/>
      <c r="Q1421"/>
    </row>
    <row r="1422" spans="6:17" x14ac:dyDescent="0.3">
      <c r="F1422"/>
      <c r="G1422"/>
      <c r="H1422"/>
      <c r="I1422"/>
      <c r="J1422"/>
      <c r="K1422"/>
      <c r="L1422"/>
      <c r="M1422"/>
      <c r="N1422"/>
      <c r="O1422"/>
      <c r="P1422"/>
      <c r="Q1422"/>
    </row>
    <row r="1423" spans="6:17" x14ac:dyDescent="0.3">
      <c r="F1423"/>
      <c r="G1423"/>
      <c r="H1423"/>
      <c r="I1423"/>
      <c r="J1423"/>
      <c r="K1423"/>
      <c r="L1423"/>
      <c r="M1423"/>
      <c r="N1423"/>
      <c r="O1423"/>
      <c r="P1423"/>
      <c r="Q1423"/>
    </row>
    <row r="1424" spans="6:17" x14ac:dyDescent="0.3">
      <c r="F1424"/>
      <c r="G1424"/>
      <c r="H1424"/>
      <c r="I1424"/>
      <c r="J1424"/>
      <c r="K1424"/>
      <c r="L1424"/>
      <c r="M1424"/>
      <c r="N1424"/>
      <c r="O1424"/>
      <c r="P1424"/>
      <c r="Q1424"/>
    </row>
    <row r="1425" spans="6:17" x14ac:dyDescent="0.3">
      <c r="F1425"/>
      <c r="G1425"/>
      <c r="H1425"/>
      <c r="I1425"/>
      <c r="J1425"/>
      <c r="K1425"/>
      <c r="L1425"/>
      <c r="M1425"/>
      <c r="N1425"/>
      <c r="O1425"/>
      <c r="P1425"/>
      <c r="Q1425"/>
    </row>
    <row r="1426" spans="6:17" x14ac:dyDescent="0.3">
      <c r="F1426"/>
      <c r="G1426"/>
      <c r="H1426"/>
      <c r="I1426"/>
      <c r="J1426"/>
      <c r="K1426"/>
      <c r="L1426"/>
      <c r="M1426"/>
      <c r="N1426"/>
      <c r="O1426"/>
      <c r="P1426"/>
      <c r="Q1426"/>
    </row>
    <row r="1427" spans="6:17" x14ac:dyDescent="0.3">
      <c r="F1427"/>
      <c r="G1427"/>
      <c r="H1427"/>
      <c r="I1427"/>
      <c r="J1427"/>
      <c r="K1427"/>
      <c r="L1427"/>
      <c r="M1427"/>
      <c r="N1427"/>
      <c r="O1427"/>
      <c r="P1427"/>
      <c r="Q1427"/>
    </row>
    <row r="1428" spans="6:17" x14ac:dyDescent="0.3">
      <c r="F1428"/>
      <c r="G1428"/>
      <c r="H1428"/>
      <c r="I1428"/>
      <c r="J1428"/>
      <c r="K1428"/>
      <c r="L1428"/>
      <c r="M1428"/>
      <c r="N1428"/>
      <c r="O1428"/>
      <c r="P1428"/>
      <c r="Q1428"/>
    </row>
    <row r="1429" spans="6:17" x14ac:dyDescent="0.3">
      <c r="F1429"/>
      <c r="G1429"/>
      <c r="H1429"/>
      <c r="I1429"/>
      <c r="J1429"/>
      <c r="K1429"/>
      <c r="L1429"/>
      <c r="M1429"/>
      <c r="N1429"/>
      <c r="O1429"/>
      <c r="P1429"/>
      <c r="Q1429"/>
    </row>
    <row r="1430" spans="6:17" x14ac:dyDescent="0.3">
      <c r="F1430"/>
      <c r="G1430"/>
      <c r="H1430"/>
      <c r="I1430"/>
      <c r="J1430"/>
      <c r="K1430"/>
      <c r="L1430"/>
      <c r="M1430"/>
      <c r="N1430"/>
      <c r="O1430"/>
      <c r="P1430"/>
      <c r="Q1430"/>
    </row>
    <row r="1431" spans="6:17" x14ac:dyDescent="0.3">
      <c r="F1431"/>
      <c r="G1431"/>
      <c r="H1431"/>
      <c r="I1431"/>
      <c r="J1431"/>
      <c r="K1431"/>
      <c r="L1431"/>
      <c r="M1431"/>
      <c r="N1431"/>
      <c r="O1431"/>
      <c r="P1431"/>
      <c r="Q1431"/>
    </row>
    <row r="1432" spans="6:17" x14ac:dyDescent="0.3">
      <c r="F1432"/>
      <c r="G1432"/>
      <c r="H1432"/>
      <c r="I1432"/>
      <c r="J1432"/>
      <c r="K1432"/>
      <c r="L1432"/>
      <c r="M1432"/>
      <c r="N1432"/>
      <c r="O1432"/>
      <c r="P1432"/>
      <c r="Q1432"/>
    </row>
    <row r="1433" spans="6:17" x14ac:dyDescent="0.3">
      <c r="F1433"/>
      <c r="G1433"/>
      <c r="H1433"/>
      <c r="I1433"/>
      <c r="J1433"/>
      <c r="K1433"/>
      <c r="L1433"/>
      <c r="M1433"/>
      <c r="N1433"/>
      <c r="O1433"/>
      <c r="P1433"/>
      <c r="Q1433"/>
    </row>
    <row r="1434" spans="6:17" x14ac:dyDescent="0.3">
      <c r="F1434"/>
      <c r="G1434"/>
      <c r="H1434"/>
      <c r="I1434"/>
      <c r="J1434"/>
      <c r="K1434"/>
      <c r="L1434"/>
      <c r="M1434"/>
      <c r="N1434"/>
      <c r="O1434"/>
      <c r="P1434"/>
      <c r="Q1434"/>
    </row>
    <row r="1435" spans="6:17" x14ac:dyDescent="0.3">
      <c r="F1435"/>
      <c r="G1435"/>
      <c r="H1435"/>
      <c r="I1435"/>
      <c r="J1435"/>
      <c r="K1435"/>
      <c r="L1435"/>
      <c r="M1435"/>
      <c r="N1435"/>
      <c r="O1435"/>
      <c r="P1435"/>
      <c r="Q1435"/>
    </row>
    <row r="1436" spans="6:17" x14ac:dyDescent="0.3">
      <c r="F1436"/>
      <c r="G1436"/>
      <c r="H1436"/>
      <c r="I1436"/>
      <c r="J1436"/>
      <c r="K1436"/>
      <c r="L1436"/>
      <c r="M1436"/>
      <c r="N1436"/>
      <c r="O1436"/>
      <c r="P1436"/>
      <c r="Q1436"/>
    </row>
    <row r="1437" spans="6:17" x14ac:dyDescent="0.3">
      <c r="F1437"/>
      <c r="G1437"/>
      <c r="H1437"/>
      <c r="I1437"/>
      <c r="J1437"/>
      <c r="K1437"/>
      <c r="L1437"/>
      <c r="M1437"/>
      <c r="N1437"/>
      <c r="O1437"/>
      <c r="P1437"/>
      <c r="Q1437"/>
    </row>
    <row r="1438" spans="6:17" x14ac:dyDescent="0.3">
      <c r="F1438"/>
      <c r="G1438"/>
      <c r="H1438"/>
      <c r="I1438"/>
      <c r="J1438"/>
      <c r="K1438"/>
      <c r="L1438"/>
      <c r="M1438"/>
      <c r="N1438"/>
      <c r="O1438"/>
      <c r="P1438"/>
      <c r="Q1438"/>
    </row>
    <row r="1439" spans="6:17" x14ac:dyDescent="0.3">
      <c r="F1439"/>
      <c r="G1439"/>
      <c r="H1439"/>
      <c r="I1439"/>
      <c r="J1439"/>
      <c r="K1439"/>
      <c r="L1439"/>
      <c r="M1439"/>
      <c r="N1439"/>
      <c r="O1439"/>
      <c r="P1439"/>
      <c r="Q1439"/>
    </row>
    <row r="1440" spans="6:17" x14ac:dyDescent="0.3">
      <c r="F1440"/>
      <c r="G1440"/>
      <c r="H1440"/>
      <c r="I1440"/>
      <c r="J1440"/>
      <c r="K1440"/>
      <c r="L1440"/>
      <c r="M1440"/>
      <c r="N1440"/>
      <c r="O1440"/>
      <c r="P1440"/>
      <c r="Q1440"/>
    </row>
    <row r="1441" spans="6:17" x14ac:dyDescent="0.3">
      <c r="F1441"/>
      <c r="G1441"/>
      <c r="H1441"/>
      <c r="I1441"/>
      <c r="J1441"/>
      <c r="K1441"/>
      <c r="L1441"/>
      <c r="M1441"/>
      <c r="N1441"/>
      <c r="O1441"/>
      <c r="P1441"/>
      <c r="Q1441"/>
    </row>
    <row r="1442" spans="6:17" x14ac:dyDescent="0.3">
      <c r="F1442"/>
      <c r="G1442"/>
      <c r="H1442"/>
      <c r="I1442"/>
      <c r="J1442"/>
      <c r="K1442"/>
      <c r="L1442"/>
      <c r="M1442"/>
      <c r="N1442"/>
      <c r="O1442"/>
      <c r="P1442"/>
      <c r="Q1442"/>
    </row>
    <row r="1443" spans="6:17" x14ac:dyDescent="0.3">
      <c r="F1443"/>
      <c r="G1443"/>
      <c r="H1443"/>
      <c r="I1443"/>
      <c r="J1443"/>
      <c r="K1443"/>
      <c r="L1443"/>
      <c r="M1443"/>
      <c r="N1443"/>
      <c r="O1443"/>
      <c r="P1443"/>
      <c r="Q1443"/>
    </row>
    <row r="1444" spans="6:17" x14ac:dyDescent="0.3">
      <c r="F1444"/>
      <c r="G1444"/>
      <c r="H1444"/>
      <c r="I1444"/>
      <c r="J1444"/>
      <c r="K1444"/>
      <c r="L1444"/>
      <c r="M1444"/>
      <c r="N1444"/>
      <c r="O1444"/>
      <c r="P1444"/>
      <c r="Q1444"/>
    </row>
    <row r="1445" spans="6:17" x14ac:dyDescent="0.3">
      <c r="F1445"/>
      <c r="G1445"/>
      <c r="H1445"/>
      <c r="I1445"/>
      <c r="J1445"/>
      <c r="K1445"/>
      <c r="L1445"/>
      <c r="M1445"/>
      <c r="N1445"/>
      <c r="O1445"/>
      <c r="P1445"/>
      <c r="Q1445"/>
    </row>
    <row r="1446" spans="6:17" x14ac:dyDescent="0.3">
      <c r="F1446"/>
      <c r="G1446"/>
      <c r="H1446"/>
      <c r="I1446"/>
      <c r="J1446"/>
      <c r="K1446"/>
      <c r="L1446"/>
      <c r="M1446"/>
      <c r="N1446"/>
      <c r="O1446"/>
      <c r="P1446"/>
      <c r="Q1446"/>
    </row>
    <row r="1447" spans="6:17" x14ac:dyDescent="0.3">
      <c r="F1447"/>
      <c r="G1447"/>
      <c r="H1447"/>
      <c r="I1447"/>
      <c r="J1447"/>
      <c r="K1447"/>
      <c r="L1447"/>
      <c r="M1447"/>
      <c r="N1447"/>
      <c r="O1447"/>
      <c r="P1447"/>
      <c r="Q1447"/>
    </row>
    <row r="1448" spans="6:17" x14ac:dyDescent="0.3">
      <c r="F1448"/>
      <c r="G1448"/>
      <c r="H1448"/>
      <c r="I1448"/>
      <c r="J1448"/>
      <c r="K1448"/>
      <c r="L1448"/>
      <c r="M1448"/>
      <c r="N1448"/>
      <c r="O1448"/>
      <c r="P1448"/>
      <c r="Q1448"/>
    </row>
    <row r="1449" spans="6:17" x14ac:dyDescent="0.3">
      <c r="F1449"/>
      <c r="G1449"/>
      <c r="H1449"/>
      <c r="I1449"/>
      <c r="J1449"/>
      <c r="K1449"/>
      <c r="L1449"/>
      <c r="M1449"/>
      <c r="N1449"/>
      <c r="O1449"/>
      <c r="P1449"/>
      <c r="Q1449"/>
    </row>
    <row r="1450" spans="6:17" x14ac:dyDescent="0.3">
      <c r="F1450"/>
      <c r="G1450"/>
      <c r="H1450"/>
      <c r="I1450"/>
      <c r="J1450"/>
      <c r="K1450"/>
      <c r="L1450"/>
      <c r="M1450"/>
      <c r="N1450"/>
      <c r="O1450"/>
      <c r="P1450"/>
      <c r="Q1450"/>
    </row>
    <row r="1451" spans="6:17" x14ac:dyDescent="0.3">
      <c r="F1451"/>
      <c r="G1451"/>
      <c r="H1451"/>
      <c r="I1451"/>
      <c r="J1451"/>
      <c r="K1451"/>
      <c r="L1451"/>
      <c r="M1451"/>
      <c r="N1451"/>
      <c r="O1451"/>
      <c r="P1451"/>
      <c r="Q1451"/>
    </row>
    <row r="1452" spans="6:17" x14ac:dyDescent="0.3">
      <c r="F1452"/>
      <c r="G1452"/>
      <c r="H1452"/>
      <c r="I1452"/>
      <c r="J1452"/>
      <c r="K1452"/>
      <c r="L1452"/>
      <c r="M1452"/>
      <c r="N1452"/>
      <c r="O1452"/>
      <c r="P1452"/>
      <c r="Q1452"/>
    </row>
    <row r="1453" spans="6:17" x14ac:dyDescent="0.3">
      <c r="F1453"/>
      <c r="G1453"/>
      <c r="H1453"/>
      <c r="I1453"/>
      <c r="J1453"/>
      <c r="K1453"/>
      <c r="L1453"/>
      <c r="M1453"/>
      <c r="N1453"/>
      <c r="O1453"/>
      <c r="P1453"/>
      <c r="Q1453"/>
    </row>
    <row r="1454" spans="6:17" x14ac:dyDescent="0.3">
      <c r="F1454"/>
      <c r="G1454"/>
      <c r="H1454"/>
      <c r="I1454"/>
      <c r="J1454"/>
      <c r="K1454"/>
      <c r="L1454"/>
      <c r="M1454"/>
      <c r="N1454"/>
      <c r="O1454"/>
      <c r="P1454"/>
      <c r="Q1454"/>
    </row>
    <row r="1455" spans="6:17" x14ac:dyDescent="0.3">
      <c r="F1455"/>
      <c r="G1455"/>
      <c r="H1455"/>
      <c r="I1455"/>
      <c r="J1455"/>
      <c r="K1455"/>
      <c r="L1455"/>
      <c r="M1455"/>
      <c r="N1455"/>
      <c r="O1455"/>
      <c r="P1455"/>
      <c r="Q1455"/>
    </row>
    <row r="1456" spans="6:17" x14ac:dyDescent="0.3">
      <c r="F1456"/>
      <c r="G1456"/>
      <c r="H1456"/>
      <c r="I1456"/>
      <c r="J1456"/>
      <c r="K1456"/>
      <c r="L1456"/>
      <c r="M1456"/>
      <c r="N1456"/>
      <c r="O1456"/>
      <c r="P1456"/>
      <c r="Q1456"/>
    </row>
    <row r="1457" spans="6:17" x14ac:dyDescent="0.3">
      <c r="F1457"/>
      <c r="G1457"/>
      <c r="H1457"/>
      <c r="I1457"/>
      <c r="J1457"/>
      <c r="K1457"/>
      <c r="L1457"/>
      <c r="M1457"/>
      <c r="N1457"/>
      <c r="O1457"/>
      <c r="P1457"/>
      <c r="Q1457"/>
    </row>
    <row r="1458" spans="6:17" x14ac:dyDescent="0.3">
      <c r="F1458"/>
      <c r="G1458"/>
      <c r="H1458"/>
      <c r="I1458"/>
      <c r="J1458"/>
      <c r="K1458"/>
      <c r="L1458"/>
      <c r="M1458"/>
      <c r="N1458"/>
      <c r="O1458"/>
      <c r="P1458"/>
      <c r="Q1458"/>
    </row>
    <row r="1459" spans="6:17" x14ac:dyDescent="0.3">
      <c r="F1459"/>
      <c r="G1459"/>
      <c r="H1459"/>
      <c r="I1459"/>
      <c r="J1459"/>
      <c r="K1459"/>
      <c r="L1459"/>
      <c r="M1459"/>
      <c r="N1459"/>
      <c r="O1459"/>
      <c r="P1459"/>
      <c r="Q1459"/>
    </row>
    <row r="1460" spans="6:17" x14ac:dyDescent="0.3">
      <c r="F1460"/>
      <c r="G1460"/>
      <c r="H1460"/>
      <c r="I1460"/>
      <c r="J1460"/>
      <c r="K1460"/>
      <c r="L1460"/>
      <c r="M1460"/>
      <c r="N1460"/>
      <c r="O1460"/>
      <c r="P1460"/>
      <c r="Q1460"/>
    </row>
    <row r="1461" spans="6:17" x14ac:dyDescent="0.3">
      <c r="F1461"/>
      <c r="G1461"/>
      <c r="H1461"/>
      <c r="I1461"/>
      <c r="J1461"/>
      <c r="K1461"/>
      <c r="L1461"/>
      <c r="M1461"/>
      <c r="N1461"/>
      <c r="O1461"/>
      <c r="P1461"/>
      <c r="Q1461"/>
    </row>
    <row r="1462" spans="6:17" x14ac:dyDescent="0.3">
      <c r="F1462"/>
      <c r="G1462"/>
      <c r="H1462"/>
      <c r="I1462"/>
      <c r="J1462"/>
      <c r="K1462"/>
      <c r="L1462"/>
      <c r="M1462"/>
      <c r="N1462"/>
      <c r="O1462"/>
      <c r="P1462"/>
      <c r="Q1462"/>
    </row>
    <row r="1463" spans="6:17" x14ac:dyDescent="0.3">
      <c r="F1463"/>
      <c r="G1463"/>
      <c r="H1463"/>
      <c r="I1463"/>
      <c r="J1463"/>
      <c r="K1463"/>
      <c r="L1463"/>
      <c r="M1463"/>
      <c r="N1463"/>
      <c r="O1463"/>
      <c r="P1463"/>
      <c r="Q1463"/>
    </row>
    <row r="1464" spans="6:17" x14ac:dyDescent="0.3">
      <c r="F1464"/>
      <c r="G1464"/>
      <c r="H1464"/>
      <c r="I1464"/>
      <c r="J1464"/>
      <c r="K1464"/>
      <c r="L1464"/>
      <c r="M1464"/>
      <c r="N1464"/>
      <c r="O1464"/>
      <c r="P1464"/>
      <c r="Q1464"/>
    </row>
    <row r="1465" spans="6:17" x14ac:dyDescent="0.3">
      <c r="F1465"/>
      <c r="G1465"/>
      <c r="H1465"/>
      <c r="I1465"/>
      <c r="J1465"/>
      <c r="K1465"/>
      <c r="L1465"/>
      <c r="M1465"/>
      <c r="N1465"/>
      <c r="O1465"/>
      <c r="P1465"/>
      <c r="Q1465"/>
    </row>
    <row r="1466" spans="6:17" x14ac:dyDescent="0.3">
      <c r="F1466"/>
      <c r="G1466"/>
      <c r="H1466"/>
      <c r="I1466"/>
      <c r="J1466"/>
      <c r="K1466"/>
      <c r="L1466"/>
      <c r="M1466"/>
      <c r="N1466"/>
      <c r="O1466"/>
      <c r="P1466"/>
      <c r="Q1466"/>
    </row>
    <row r="1467" spans="6:17" x14ac:dyDescent="0.3">
      <c r="F1467"/>
      <c r="G1467"/>
      <c r="H1467"/>
      <c r="I1467"/>
      <c r="J1467"/>
      <c r="K1467"/>
      <c r="L1467"/>
      <c r="M1467"/>
      <c r="N1467"/>
      <c r="O1467"/>
      <c r="P1467"/>
      <c r="Q1467"/>
    </row>
    <row r="1468" spans="6:17" x14ac:dyDescent="0.3">
      <c r="F1468"/>
      <c r="G1468"/>
      <c r="H1468"/>
      <c r="I1468"/>
      <c r="J1468"/>
      <c r="K1468"/>
      <c r="L1468"/>
      <c r="M1468"/>
      <c r="N1468"/>
      <c r="O1468"/>
      <c r="P1468"/>
      <c r="Q1468"/>
    </row>
    <row r="1469" spans="6:17" x14ac:dyDescent="0.3">
      <c r="F1469"/>
      <c r="G1469"/>
      <c r="H1469"/>
      <c r="I1469"/>
      <c r="J1469"/>
      <c r="K1469"/>
      <c r="L1469"/>
      <c r="M1469"/>
      <c r="N1469"/>
      <c r="O1469"/>
      <c r="P1469"/>
      <c r="Q1469"/>
    </row>
    <row r="1470" spans="6:17" x14ac:dyDescent="0.3">
      <c r="F1470"/>
      <c r="G1470"/>
      <c r="H1470"/>
      <c r="I1470"/>
      <c r="J1470"/>
      <c r="K1470"/>
      <c r="L1470"/>
      <c r="M1470"/>
      <c r="N1470"/>
      <c r="O1470"/>
      <c r="P1470"/>
      <c r="Q1470"/>
    </row>
    <row r="1471" spans="6:17" x14ac:dyDescent="0.3">
      <c r="F1471"/>
      <c r="G1471"/>
      <c r="H1471"/>
      <c r="I1471"/>
      <c r="J1471"/>
      <c r="K1471"/>
      <c r="L1471"/>
      <c r="M1471"/>
      <c r="N1471"/>
      <c r="O1471"/>
      <c r="P1471"/>
      <c r="Q1471"/>
    </row>
    <row r="1472" spans="6:17" x14ac:dyDescent="0.3">
      <c r="F1472"/>
      <c r="G1472"/>
      <c r="H1472"/>
      <c r="I1472"/>
      <c r="J1472"/>
      <c r="K1472"/>
      <c r="L1472"/>
      <c r="M1472"/>
      <c r="N1472"/>
      <c r="O1472"/>
      <c r="P1472"/>
      <c r="Q1472"/>
    </row>
    <row r="1473" spans="6:17" x14ac:dyDescent="0.3">
      <c r="F1473"/>
      <c r="G1473"/>
      <c r="H1473"/>
      <c r="I1473"/>
      <c r="J1473"/>
      <c r="K1473"/>
      <c r="L1473"/>
      <c r="M1473"/>
      <c r="N1473"/>
      <c r="O1473"/>
      <c r="P1473"/>
      <c r="Q1473"/>
    </row>
    <row r="1474" spans="6:17" x14ac:dyDescent="0.3">
      <c r="F1474"/>
      <c r="G1474"/>
      <c r="H1474"/>
      <c r="I1474"/>
      <c r="J1474"/>
      <c r="K1474"/>
      <c r="L1474"/>
      <c r="M1474"/>
      <c r="N1474"/>
      <c r="O1474"/>
      <c r="P1474"/>
      <c r="Q1474"/>
    </row>
    <row r="1475" spans="6:17" x14ac:dyDescent="0.3">
      <c r="F1475"/>
      <c r="G1475"/>
      <c r="H1475"/>
      <c r="I1475"/>
      <c r="J1475"/>
      <c r="K1475"/>
      <c r="L1475"/>
      <c r="M1475"/>
      <c r="N1475"/>
      <c r="O1475"/>
      <c r="P1475"/>
      <c r="Q1475"/>
    </row>
    <row r="1476" spans="6:17" x14ac:dyDescent="0.3">
      <c r="F1476"/>
      <c r="G1476"/>
      <c r="H1476"/>
      <c r="I1476"/>
      <c r="J1476"/>
      <c r="K1476"/>
      <c r="L1476"/>
      <c r="M1476"/>
      <c r="N1476"/>
      <c r="O1476"/>
      <c r="P1476"/>
      <c r="Q1476"/>
    </row>
    <row r="1477" spans="6:17" x14ac:dyDescent="0.3">
      <c r="F1477"/>
      <c r="G1477"/>
      <c r="H1477"/>
      <c r="I1477"/>
      <c r="J1477"/>
      <c r="K1477"/>
      <c r="L1477"/>
      <c r="M1477"/>
      <c r="N1477"/>
      <c r="O1477"/>
      <c r="P1477"/>
      <c r="Q1477"/>
    </row>
    <row r="1478" spans="6:17" x14ac:dyDescent="0.3">
      <c r="F1478"/>
      <c r="G1478"/>
      <c r="H1478"/>
      <c r="I1478"/>
      <c r="J1478"/>
      <c r="K1478"/>
      <c r="L1478"/>
      <c r="M1478"/>
      <c r="N1478"/>
      <c r="O1478"/>
      <c r="P1478"/>
      <c r="Q1478"/>
    </row>
    <row r="1479" spans="6:17" x14ac:dyDescent="0.3">
      <c r="F1479"/>
      <c r="G1479"/>
      <c r="H1479"/>
      <c r="I1479"/>
      <c r="J1479"/>
      <c r="K1479"/>
      <c r="L1479"/>
      <c r="M1479"/>
      <c r="N1479"/>
      <c r="O1479"/>
      <c r="P1479"/>
      <c r="Q1479"/>
    </row>
    <row r="1480" spans="6:17" x14ac:dyDescent="0.3">
      <c r="F1480"/>
      <c r="G1480"/>
      <c r="H1480"/>
      <c r="I1480"/>
      <c r="J1480"/>
      <c r="K1480"/>
      <c r="L1480"/>
      <c r="M1480"/>
      <c r="N1480"/>
      <c r="O1480"/>
      <c r="P1480"/>
      <c r="Q1480"/>
    </row>
    <row r="1481" spans="6:17" x14ac:dyDescent="0.3">
      <c r="F1481"/>
      <c r="G1481"/>
      <c r="H1481"/>
      <c r="I1481"/>
      <c r="J1481"/>
      <c r="K1481"/>
      <c r="L1481"/>
      <c r="M1481"/>
      <c r="N1481"/>
      <c r="O1481"/>
      <c r="P1481"/>
      <c r="Q1481"/>
    </row>
    <row r="1482" spans="6:17" x14ac:dyDescent="0.3">
      <c r="F1482"/>
      <c r="G1482"/>
      <c r="H1482"/>
      <c r="I1482"/>
      <c r="J1482"/>
      <c r="K1482"/>
      <c r="L1482"/>
      <c r="M1482"/>
      <c r="N1482"/>
      <c r="O1482"/>
      <c r="P1482"/>
      <c r="Q1482"/>
    </row>
    <row r="1483" spans="6:17" x14ac:dyDescent="0.3">
      <c r="F1483"/>
      <c r="G1483"/>
      <c r="H1483"/>
      <c r="I1483"/>
      <c r="J1483"/>
      <c r="K1483"/>
      <c r="L1483"/>
      <c r="M1483"/>
      <c r="N1483"/>
      <c r="O1483"/>
      <c r="P1483"/>
      <c r="Q1483"/>
    </row>
    <row r="1484" spans="6:17" x14ac:dyDescent="0.3">
      <c r="F1484"/>
      <c r="G1484"/>
      <c r="H1484"/>
      <c r="I1484"/>
      <c r="J1484"/>
      <c r="K1484"/>
      <c r="L1484"/>
      <c r="M1484"/>
      <c r="N1484"/>
      <c r="O1484"/>
      <c r="P1484"/>
      <c r="Q1484"/>
    </row>
    <row r="1485" spans="6:17" x14ac:dyDescent="0.3">
      <c r="F1485"/>
      <c r="G1485"/>
      <c r="H1485"/>
      <c r="I1485"/>
      <c r="J1485"/>
      <c r="K1485"/>
      <c r="L1485"/>
      <c r="M1485"/>
      <c r="N1485"/>
      <c r="O1485"/>
      <c r="P1485"/>
      <c r="Q1485"/>
    </row>
    <row r="1486" spans="6:17" x14ac:dyDescent="0.3">
      <c r="F1486"/>
      <c r="G1486"/>
      <c r="H1486"/>
      <c r="I1486"/>
      <c r="J1486"/>
      <c r="K1486"/>
      <c r="L1486"/>
      <c r="M1486"/>
      <c r="N1486"/>
      <c r="O1486"/>
      <c r="P1486"/>
      <c r="Q1486"/>
    </row>
    <row r="1487" spans="6:17" x14ac:dyDescent="0.3">
      <c r="F1487"/>
      <c r="G1487"/>
      <c r="H1487"/>
      <c r="I1487"/>
      <c r="J1487"/>
      <c r="K1487"/>
      <c r="L1487"/>
      <c r="M1487"/>
      <c r="N1487"/>
      <c r="O1487"/>
      <c r="P1487"/>
      <c r="Q1487"/>
    </row>
    <row r="1488" spans="6:17" x14ac:dyDescent="0.3">
      <c r="F1488"/>
      <c r="G1488"/>
      <c r="H1488"/>
      <c r="I1488"/>
      <c r="J1488"/>
      <c r="K1488"/>
      <c r="L1488"/>
      <c r="M1488"/>
      <c r="N1488"/>
      <c r="O1488"/>
      <c r="P1488"/>
      <c r="Q1488"/>
    </row>
    <row r="1489" spans="6:17" x14ac:dyDescent="0.3">
      <c r="F1489"/>
      <c r="G1489"/>
      <c r="H1489"/>
      <c r="I1489"/>
      <c r="J1489"/>
      <c r="K1489"/>
      <c r="L1489"/>
      <c r="M1489"/>
      <c r="N1489"/>
      <c r="O1489"/>
      <c r="P1489"/>
      <c r="Q1489"/>
    </row>
    <row r="1490" spans="6:17" x14ac:dyDescent="0.3">
      <c r="F1490"/>
      <c r="G1490"/>
      <c r="H1490"/>
      <c r="I1490"/>
      <c r="J1490"/>
      <c r="K1490"/>
      <c r="L1490"/>
      <c r="M1490"/>
      <c r="N1490"/>
      <c r="O1490"/>
      <c r="P1490"/>
      <c r="Q1490"/>
    </row>
    <row r="1491" spans="6:17" x14ac:dyDescent="0.3">
      <c r="F1491"/>
      <c r="G1491"/>
      <c r="H1491"/>
      <c r="I1491"/>
      <c r="J1491"/>
      <c r="K1491"/>
      <c r="L1491"/>
      <c r="M1491"/>
      <c r="N1491"/>
      <c r="O1491"/>
      <c r="P1491"/>
      <c r="Q1491"/>
    </row>
    <row r="1492" spans="6:17" x14ac:dyDescent="0.3">
      <c r="F1492"/>
      <c r="G1492"/>
      <c r="H1492"/>
      <c r="I1492"/>
      <c r="J1492"/>
      <c r="K1492"/>
      <c r="L1492"/>
      <c r="M1492"/>
      <c r="N1492"/>
      <c r="O1492"/>
      <c r="P1492"/>
      <c r="Q1492"/>
    </row>
    <row r="1493" spans="6:17" x14ac:dyDescent="0.3">
      <c r="F1493"/>
      <c r="G1493"/>
      <c r="H1493"/>
      <c r="I1493"/>
      <c r="J1493"/>
      <c r="K1493"/>
      <c r="L1493"/>
      <c r="M1493"/>
      <c r="N1493"/>
      <c r="O1493"/>
      <c r="P1493"/>
      <c r="Q1493"/>
    </row>
    <row r="1494" spans="6:17" x14ac:dyDescent="0.3">
      <c r="F1494"/>
      <c r="G1494"/>
      <c r="H1494"/>
      <c r="I1494"/>
      <c r="J1494"/>
      <c r="K1494"/>
      <c r="L1494"/>
      <c r="M1494"/>
      <c r="N1494"/>
      <c r="O1494"/>
      <c r="P1494"/>
      <c r="Q1494"/>
    </row>
    <row r="1495" spans="6:17" x14ac:dyDescent="0.3">
      <c r="F1495"/>
      <c r="G1495"/>
      <c r="H1495"/>
      <c r="I1495"/>
      <c r="J1495"/>
      <c r="K1495"/>
      <c r="L1495"/>
      <c r="M1495"/>
      <c r="N1495"/>
      <c r="O1495"/>
      <c r="P1495"/>
      <c r="Q1495"/>
    </row>
    <row r="1496" spans="6:17" x14ac:dyDescent="0.3">
      <c r="F1496"/>
      <c r="G1496"/>
      <c r="H1496"/>
      <c r="I1496"/>
      <c r="J1496"/>
      <c r="K1496"/>
      <c r="L1496"/>
      <c r="M1496"/>
      <c r="N1496"/>
      <c r="O1496"/>
      <c r="P1496"/>
      <c r="Q1496"/>
    </row>
    <row r="1497" spans="6:17" x14ac:dyDescent="0.3">
      <c r="F1497"/>
      <c r="G1497"/>
      <c r="H1497"/>
      <c r="I1497"/>
      <c r="J1497"/>
      <c r="K1497"/>
      <c r="L1497"/>
      <c r="M1497"/>
      <c r="N1497"/>
      <c r="O1497"/>
      <c r="P1497"/>
      <c r="Q1497"/>
    </row>
    <row r="1498" spans="6:17" x14ac:dyDescent="0.3">
      <c r="F1498"/>
      <c r="G1498"/>
      <c r="H1498"/>
      <c r="I1498"/>
      <c r="J1498"/>
      <c r="K1498"/>
      <c r="L1498"/>
      <c r="M1498"/>
      <c r="N1498"/>
      <c r="O1498"/>
      <c r="P1498"/>
      <c r="Q1498"/>
    </row>
    <row r="1499" spans="6:17" x14ac:dyDescent="0.3">
      <c r="F1499"/>
      <c r="G1499"/>
      <c r="H1499"/>
      <c r="I1499"/>
      <c r="J1499"/>
      <c r="K1499"/>
      <c r="L1499"/>
      <c r="M1499"/>
      <c r="N1499"/>
      <c r="O1499"/>
      <c r="P1499"/>
      <c r="Q1499"/>
    </row>
    <row r="1500" spans="6:17" x14ac:dyDescent="0.3">
      <c r="F1500"/>
      <c r="G1500"/>
      <c r="H1500"/>
      <c r="I1500"/>
      <c r="J1500"/>
      <c r="K1500"/>
      <c r="L1500"/>
      <c r="M1500"/>
      <c r="N1500"/>
      <c r="O1500"/>
      <c r="P1500"/>
      <c r="Q1500"/>
    </row>
    <row r="1501" spans="6:17" x14ac:dyDescent="0.3">
      <c r="F1501"/>
      <c r="G1501"/>
      <c r="H1501"/>
      <c r="I1501"/>
      <c r="J1501"/>
      <c r="K1501"/>
      <c r="L1501"/>
      <c r="M1501"/>
      <c r="N1501"/>
      <c r="O1501"/>
      <c r="P1501"/>
      <c r="Q1501"/>
    </row>
    <row r="1502" spans="6:17" x14ac:dyDescent="0.3">
      <c r="F1502"/>
      <c r="G1502"/>
      <c r="H1502"/>
      <c r="I1502"/>
      <c r="J1502"/>
      <c r="K1502"/>
      <c r="L1502"/>
      <c r="M1502"/>
      <c r="N1502"/>
      <c r="O1502"/>
      <c r="P1502"/>
      <c r="Q150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1</vt:lpstr>
      <vt:lpstr>pivot 2</vt:lpstr>
      <vt:lpstr>pivot 3</vt:lpstr>
      <vt:lpstr>pivot 4</vt:lpstr>
      <vt:lpstr>sales data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2025-06-21T13:19:11Z</dcterms:created>
  <dcterms:modified xsi:type="dcterms:W3CDTF">2026-01-11T17:53:18Z</dcterms:modified>
</cp:coreProperties>
</file>